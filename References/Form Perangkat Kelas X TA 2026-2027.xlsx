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2026-2027\4. PENGORGANISASIAN KURIKULUM 2026-2027\7. KBM 2026-2027\"/>
    </mc:Choice>
  </mc:AlternateContent>
  <xr:revisionPtr revIDLastSave="0" documentId="13_ncr:1_{8C11647B-F952-4226-A5FB-E45E57C0C8AD}" xr6:coauthVersionLast="47" xr6:coauthVersionMax="47" xr10:uidLastSave="{00000000-0000-0000-0000-000000000000}"/>
  <bookViews>
    <workbookView xWindow="-108" yWindow="-108" windowWidth="23256" windowHeight="12456" tabRatio="833" xr2:uid="{00000000-000D-0000-FFFF-FFFF00000000}"/>
  </bookViews>
  <sheets>
    <sheet name="Alokasi Waktu X" sheetId="16" r:id="rId1"/>
    <sheet name="Prosem Ganjil  X" sheetId="15" r:id="rId2"/>
    <sheet name="Prosem Genap X" sheetId="5" r:id="rId3"/>
    <sheet name="ATP" sheetId="8" r:id="rId4"/>
    <sheet name="Prota" sheetId="12" r:id="rId5"/>
    <sheet name="KKTP" sheetId="9" r:id="rId6"/>
  </sheets>
  <definedNames>
    <definedName name="_xlnm.Print_Area" localSheetId="0">'Alokasi Waktu X'!$A$1:$H$34</definedName>
    <definedName name="_xlnm.Print_Area" localSheetId="5">KKTP!$A$1:$F$30</definedName>
    <definedName name="_xlnm.Print_Area" localSheetId="2">'Prosem Genap X'!$A$1:$AE$23</definedName>
    <definedName name="_xlnm.Print_Titles" localSheetId="0">'Alokasi Waktu X'!#REF!</definedName>
    <definedName name="_xlnm.Print_Titles" localSheetId="3">ATP!$1:$13</definedName>
    <definedName name="_xlnm.Print_Titles" localSheetId="5">KKTP!$13:$14</definedName>
    <definedName name="_xlnm.Print_Titles" localSheetId="1">'Prosem Ganjil  X'!$8:$10</definedName>
    <definedName name="_xlnm.Print_Titles" localSheetId="2">'Prosem Genap X'!$8:$10</definedName>
    <definedName name="_xlnm.Print_Titles" localSheetId="4">Prota!$13:$13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2" l="1"/>
  <c r="B26" i="12"/>
  <c r="F27" i="12"/>
  <c r="F26" i="12"/>
  <c r="F23" i="12"/>
  <c r="F21" i="12"/>
  <c r="B36" i="8"/>
  <c r="B35" i="8"/>
  <c r="D36" i="8"/>
  <c r="D35" i="8"/>
  <c r="D32" i="8"/>
  <c r="D30" i="8"/>
  <c r="T23" i="5"/>
  <c r="W22" i="5"/>
  <c r="W19" i="5"/>
  <c r="W18" i="5"/>
  <c r="C23" i="5"/>
  <c r="C22" i="5"/>
  <c r="U23" i="15"/>
  <c r="X22" i="15"/>
  <c r="X19" i="15"/>
  <c r="X18" i="15"/>
  <c r="C23" i="15"/>
  <c r="C22" i="15"/>
  <c r="G25" i="16"/>
  <c r="G24" i="16"/>
  <c r="E24" i="16"/>
  <c r="D24" i="16"/>
  <c r="C24" i="16"/>
  <c r="F23" i="16"/>
  <c r="F22" i="16"/>
  <c r="F21" i="16"/>
  <c r="F20" i="16"/>
  <c r="F19" i="16"/>
  <c r="F18" i="16"/>
  <c r="E16" i="16"/>
  <c r="E25" i="16" s="1"/>
  <c r="D16" i="16"/>
  <c r="C16" i="16"/>
  <c r="F15" i="16"/>
  <c r="F14" i="16"/>
  <c r="F13" i="16"/>
  <c r="F12" i="16"/>
  <c r="F11" i="16"/>
  <c r="F10" i="16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C25" i="16" l="1"/>
  <c r="F24" i="16"/>
  <c r="F16" i="16"/>
  <c r="D25" i="16"/>
  <c r="B11" i="12"/>
  <c r="F25" i="16" l="1"/>
  <c r="D24" i="9"/>
  <c r="D20" i="8" l="1"/>
  <c r="D16" i="5" l="1"/>
  <c r="D15" i="5"/>
  <c r="D14" i="5"/>
  <c r="D13" i="5"/>
  <c r="D12" i="5"/>
  <c r="D11" i="5"/>
  <c r="C16" i="5"/>
  <c r="C15" i="5"/>
  <c r="C14" i="5"/>
  <c r="C13" i="5"/>
  <c r="C12" i="5"/>
  <c r="C11" i="5"/>
  <c r="B16" i="5"/>
  <c r="B15" i="5"/>
  <c r="B14" i="5"/>
  <c r="B13" i="5"/>
  <c r="B12" i="5"/>
  <c r="B11" i="5"/>
  <c r="D27" i="8"/>
  <c r="D2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</authors>
  <commentList>
    <comment ref="E11" authorId="0" shapeId="0" xr:uid="{CED32178-2D84-4003-AA3E-D8909A8E025E}">
      <text>
        <r>
          <rPr>
            <b/>
            <sz val="8"/>
            <color indexed="81"/>
            <rFont val="Tahoma"/>
            <family val="2"/>
          </rPr>
          <t>Microsoft: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" authorId="0" shapeId="0" xr:uid="{73020E5F-B9D4-4CBB-B736-3732DAD41352}">
      <text>
        <r>
          <rPr>
            <b/>
            <sz val="8"/>
            <color indexed="81"/>
            <rFont val="Tahoma"/>
            <family val="2"/>
          </rPr>
          <t>Microsoft: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<sst xmlns="http://schemas.openxmlformats.org/spreadsheetml/2006/main" count="153" uniqueCount="98">
  <si>
    <t>NO. FORM           F-Kur/11</t>
  </si>
  <si>
    <t>No</t>
  </si>
  <si>
    <t>Alokasi Waktu</t>
  </si>
  <si>
    <t>Ket</t>
  </si>
  <si>
    <t>Juli</t>
  </si>
  <si>
    <t>Agustus</t>
  </si>
  <si>
    <t>September</t>
  </si>
  <si>
    <t>Oktober</t>
  </si>
  <si>
    <t>Nopember</t>
  </si>
  <si>
    <t>Desember</t>
  </si>
  <si>
    <t xml:space="preserve">Mengetahui </t>
  </si>
  <si>
    <t>Kepala SMA Negeri 78 Jakarta</t>
  </si>
  <si>
    <t>Januari</t>
  </si>
  <si>
    <t>Februari</t>
  </si>
  <si>
    <t>Maret</t>
  </si>
  <si>
    <t>April</t>
  </si>
  <si>
    <t>Mei</t>
  </si>
  <si>
    <t>Juni</t>
  </si>
  <si>
    <t>Kepala SMA Negeri 78 Jakarta,</t>
  </si>
  <si>
    <t>Bulan dan Minggu Ke …</t>
  </si>
  <si>
    <t>Satuan Pendidikan                : SMA Negeri 78 Jakarta</t>
  </si>
  <si>
    <t>Semester</t>
  </si>
  <si>
    <t>Alokasi Waktu (JP)</t>
  </si>
  <si>
    <t>Jumlah JP Semester Ganjil</t>
  </si>
  <si>
    <t>Jumlah JP Semester Genap</t>
  </si>
  <si>
    <t>Jumlah JP Semester Ganjil dan Genap</t>
  </si>
  <si>
    <t>Nama Sekolah       : SMA Negeri 78 Jakarta</t>
  </si>
  <si>
    <t>Bulan</t>
  </si>
  <si>
    <t>Minggu</t>
  </si>
  <si>
    <t>Efektif</t>
  </si>
  <si>
    <t>Jumlah</t>
  </si>
  <si>
    <t>Jam/Minggu</t>
  </si>
  <si>
    <t>JP</t>
  </si>
  <si>
    <t>November</t>
  </si>
  <si>
    <t>GENAP</t>
  </si>
  <si>
    <t>Jumlah Total</t>
  </si>
  <si>
    <t>GANJIL</t>
  </si>
  <si>
    <t>H. Marjuki Miad, M.Pd</t>
  </si>
  <si>
    <t>NIP 196705141991011001</t>
  </si>
  <si>
    <t>Rapor Semester Ganjil</t>
  </si>
  <si>
    <t>Libur Semester</t>
  </si>
  <si>
    <t>Materi Pokok</t>
  </si>
  <si>
    <t>Materi Pelajaran</t>
  </si>
  <si>
    <t>Mata Pelajaran      : …...</t>
  </si>
  <si>
    <t>…..............</t>
  </si>
  <si>
    <t>NIP/NIKKI ….......</t>
  </si>
  <si>
    <t>Guru Mata Pelajaran …...,</t>
  </si>
  <si>
    <t>PEMETAAN TUJUAN PEMBELAJARAN</t>
  </si>
  <si>
    <t>ALUR TUJUAN PEMBELAJARAN</t>
  </si>
  <si>
    <t>Mata Pelajaran                      : ….....</t>
  </si>
  <si>
    <t>TUJUAN PEMBELAJARAN</t>
  </si>
  <si>
    <t>Mata Pelajaran       : ….............</t>
  </si>
  <si>
    <t>Tujuan Pembelajaran</t>
  </si>
  <si>
    <t>Remedial dan Pengolahan Nilai</t>
  </si>
  <si>
    <t>Libur Awal Ramadhan</t>
  </si>
  <si>
    <t>Libur Idul Fitri</t>
  </si>
  <si>
    <t>Capaian Pembelajaran           :</t>
  </si>
  <si>
    <t>…................................................................................................................................................</t>
  </si>
  <si>
    <t xml:space="preserve">Jumlah TP                            : …. </t>
  </si>
  <si>
    <t>Capaian Pembelajaran               :</t>
  </si>
  <si>
    <t>KRITERIA KETERCAPAIAN TUJUAN PEMBELAJARAN (KKTP)</t>
  </si>
  <si>
    <t>Capaian Pembelajaran:</t>
  </si>
  <si>
    <t>............................................</t>
  </si>
  <si>
    <t>Kriteria Ketercapaian/Interval Nilai</t>
  </si>
  <si>
    <t>Remedial</t>
  </si>
  <si>
    <t>Remedial Sebagian</t>
  </si>
  <si>
    <t>Tercapai</t>
  </si>
  <si>
    <t>Tercapai dan diberikan Pengayaan</t>
  </si>
  <si>
    <t>Guru Mata Pelajaran,</t>
  </si>
  <si>
    <t>…........................................</t>
  </si>
  <si>
    <t>NIP/NIKKI</t>
  </si>
  <si>
    <t>Mata Pelajaran                      : ….......................</t>
  </si>
  <si>
    <t>Kelas/Fase            : X/E</t>
  </si>
  <si>
    <t>MPLS</t>
  </si>
  <si>
    <t>Satuan Pendidikan               : SMA Negeri 78 Jakarta</t>
  </si>
  <si>
    <t>Jumlah Minggu Efektif          : ….. Minggu</t>
  </si>
  <si>
    <t>CATATAN:</t>
  </si>
  <si>
    <t>Untuk mengisi TP pada PROSEM ini, isi terlebih dahulu pada bagian ATP</t>
  </si>
  <si>
    <t>Kelas/Fase                            : X/E</t>
  </si>
  <si>
    <t>Satuan Pendidikan : SMA Negeri 78 Jakarta</t>
  </si>
  <si>
    <t>PERHITUNGAN ALOKASI WAKTU                                  TAHUN PELAJARAN 2026/2027</t>
  </si>
  <si>
    <t>IDUL FITRI</t>
  </si>
  <si>
    <t>PAS GENAP/ REMEDIAL/ LIBUR SEMESTER GENAP</t>
  </si>
  <si>
    <t xml:space="preserve">MPLS </t>
  </si>
  <si>
    <t>Libur Awal Puasa</t>
  </si>
  <si>
    <t xml:space="preserve">  PROGRAM SEMESTER GENAP TAHUN PELAJARAN 2026/2027</t>
  </si>
  <si>
    <t>Jakarta, 10 Juli 2026</t>
  </si>
  <si>
    <t xml:space="preserve">  PROGRAM SEMESTER GANJIL TAHUN PELAJARAN 2026/2027</t>
  </si>
  <si>
    <t>TAHUN PELAJARAN 2026/2027</t>
  </si>
  <si>
    <t xml:space="preserve">  PROGRAM TAHUNAN TAHUN PELAJARAN 2026/2027</t>
  </si>
  <si>
    <t>Tahun Pelajaran                    : 2026/2027</t>
  </si>
  <si>
    <t>Penilaian Akhir Semester Genap</t>
  </si>
  <si>
    <t>Penilaian Akhir Semester (AAS) Ganjil</t>
  </si>
  <si>
    <t>Susulan/Remedial/Pengolahan Nilai</t>
  </si>
  <si>
    <t>Kelas/Fase   : X/E</t>
  </si>
  <si>
    <t>Kelas/Fase                           : X/ E</t>
  </si>
  <si>
    <t>Tahun Pelajaran                  : 2026/2027</t>
  </si>
  <si>
    <t>PAS GANJIL/REMEDIAL/LIBUR SEMESTER 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</si>
</sst>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8"/>
      <name val="Times New Roman"/>
      <family val="1"/>
    </font>
    <font>
      <b/>
      <sz val="2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textRotation="255"/>
    </xf>
    <xf numFmtId="0" fontId="10" fillId="0" borderId="0" xfId="0" applyFont="1"/>
    <xf numFmtId="0" fontId="14" fillId="0" borderId="0" xfId="0" applyFont="1" applyAlignment="1">
      <alignment horizontal="left"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indent="12"/>
    </xf>
    <xf numFmtId="0" fontId="9" fillId="0" borderId="0" xfId="0" applyFont="1"/>
    <xf numFmtId="0" fontId="10" fillId="3" borderId="39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10" fillId="4" borderId="35" xfId="0" applyFont="1" applyFill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horizontal="left" vertical="top" wrapText="1"/>
    </xf>
    <xf numFmtId="0" fontId="14" fillId="0" borderId="18" xfId="0" applyFont="1" applyBorder="1" applyAlignment="1">
      <alignment vertical="center"/>
    </xf>
    <xf numFmtId="0" fontId="14" fillId="5" borderId="25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0" fillId="6" borderId="73" xfId="0" applyFont="1" applyFill="1" applyBorder="1" applyAlignment="1">
      <alignment vertical="center" textRotation="255"/>
    </xf>
    <xf numFmtId="0" fontId="14" fillId="6" borderId="16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4" fillId="0" borderId="57" xfId="0" applyFont="1" applyBorder="1" applyAlignment="1">
      <alignment vertical="center"/>
    </xf>
    <xf numFmtId="0" fontId="10" fillId="5" borderId="56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9" fillId="3" borderId="47" xfId="0" applyFont="1" applyFill="1" applyBorder="1" applyAlignment="1">
      <alignment vertical="center"/>
    </xf>
    <xf numFmtId="0" fontId="10" fillId="3" borderId="35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77" xfId="0" applyFont="1" applyBorder="1" applyAlignment="1">
      <alignment vertical="center"/>
    </xf>
    <xf numFmtId="0" fontId="14" fillId="0" borderId="66" xfId="0" applyFont="1" applyBorder="1" applyAlignment="1">
      <alignment horizontal="center" vertical="center"/>
    </xf>
    <xf numFmtId="0" fontId="14" fillId="0" borderId="79" xfId="0" applyFont="1" applyBorder="1" applyAlignment="1">
      <alignment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5" borderId="9" xfId="0" applyFont="1" applyFill="1" applyBorder="1" applyAlignment="1">
      <alignment horizontal="center" vertical="top"/>
    </xf>
    <xf numFmtId="0" fontId="10" fillId="3" borderId="9" xfId="0" applyFont="1" applyFill="1" applyBorder="1" applyAlignment="1">
      <alignment horizontal="center" vertical="top"/>
    </xf>
    <xf numFmtId="0" fontId="8" fillId="0" borderId="5" xfId="0" applyFont="1" applyBorder="1" applyAlignment="1">
      <alignment vertical="top"/>
    </xf>
    <xf numFmtId="0" fontId="8" fillId="0" borderId="7" xfId="0" applyFont="1" applyBorder="1" applyAlignment="1">
      <alignment vertical="top" wrapText="1"/>
    </xf>
    <xf numFmtId="0" fontId="8" fillId="0" borderId="18" xfId="0" applyFont="1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0" fontId="14" fillId="0" borderId="11" xfId="0" applyFont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0" fontId="14" fillId="0" borderId="28" xfId="0" applyFont="1" applyBorder="1" applyAlignment="1">
      <alignment horizontal="left" vertical="top" wrapText="1"/>
    </xf>
    <xf numFmtId="0" fontId="14" fillId="0" borderId="34" xfId="0" applyFont="1" applyBorder="1" applyAlignment="1">
      <alignment horizontal="center" vertical="top"/>
    </xf>
    <xf numFmtId="0" fontId="14" fillId="0" borderId="33" xfId="0" applyFont="1" applyBorder="1" applyAlignment="1">
      <alignment horizontal="left" vertical="top" wrapText="1"/>
    </xf>
    <xf numFmtId="0" fontId="14" fillId="0" borderId="82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center" vertical="top"/>
    </xf>
    <xf numFmtId="0" fontId="14" fillId="0" borderId="69" xfId="0" applyFont="1" applyBorder="1" applyAlignment="1">
      <alignment horizontal="center" vertical="top"/>
    </xf>
    <xf numFmtId="0" fontId="14" fillId="0" borderId="55" xfId="0" applyFont="1" applyBorder="1" applyAlignment="1">
      <alignment horizontal="center" vertical="top"/>
    </xf>
    <xf numFmtId="0" fontId="14" fillId="0" borderId="79" xfId="0" applyFont="1" applyBorder="1" applyAlignment="1">
      <alignment horizontal="center" vertical="top"/>
    </xf>
    <xf numFmtId="0" fontId="14" fillId="0" borderId="83" xfId="0" applyFont="1" applyBorder="1" applyAlignment="1">
      <alignment vertical="center"/>
    </xf>
    <xf numFmtId="0" fontId="14" fillId="0" borderId="83" xfId="0" applyFont="1" applyBorder="1" applyAlignment="1">
      <alignment horizontal="center" vertical="top"/>
    </xf>
    <xf numFmtId="0" fontId="14" fillId="0" borderId="84" xfId="0" applyFont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84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80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4" fillId="2" borderId="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textRotation="90"/>
    </xf>
    <xf numFmtId="0" fontId="10" fillId="0" borderId="57" xfId="0" applyFont="1" applyBorder="1" applyAlignment="1">
      <alignment vertical="center" textRotation="90"/>
    </xf>
    <xf numFmtId="0" fontId="10" fillId="0" borderId="18" xfId="0" applyFont="1" applyBorder="1" applyAlignment="1">
      <alignment vertical="center" textRotation="90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right" vertical="top"/>
    </xf>
    <xf numFmtId="0" fontId="10" fillId="3" borderId="92" xfId="0" applyFont="1" applyFill="1" applyBorder="1" applyAlignment="1">
      <alignment horizontal="center" vertical="center" wrapText="1"/>
    </xf>
    <xf numFmtId="0" fontId="10" fillId="3" borderId="94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top"/>
    </xf>
    <xf numFmtId="0" fontId="14" fillId="0" borderId="96" xfId="0" applyFont="1" applyBorder="1" applyAlignment="1">
      <alignment horizontal="center" vertical="top"/>
    </xf>
    <xf numFmtId="0" fontId="14" fillId="0" borderId="68" xfId="0" applyFont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0" fillId="4" borderId="98" xfId="0" applyFont="1" applyFill="1" applyBorder="1" applyAlignment="1">
      <alignment horizontal="center" vertical="center"/>
    </xf>
    <xf numFmtId="0" fontId="10" fillId="4" borderId="99" xfId="0" applyFont="1" applyFill="1" applyBorder="1" applyAlignment="1">
      <alignment horizontal="center" vertical="center"/>
    </xf>
    <xf numFmtId="0" fontId="10" fillId="4" borderId="7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57" xfId="0" applyFont="1" applyBorder="1" applyAlignment="1">
      <alignment vertical="top" wrapText="1"/>
    </xf>
    <xf numFmtId="0" fontId="8" fillId="0" borderId="57" xfId="0" applyFont="1" applyBorder="1" applyAlignment="1">
      <alignment horizontal="center" vertical="center" wrapText="1"/>
    </xf>
    <xf numFmtId="0" fontId="18" fillId="0" borderId="81" xfId="0" applyFont="1" applyBorder="1"/>
    <xf numFmtId="0" fontId="18" fillId="0" borderId="88" xfId="0" applyFont="1" applyBorder="1"/>
    <xf numFmtId="0" fontId="18" fillId="0" borderId="86" xfId="0" applyFont="1" applyBorder="1"/>
    <xf numFmtId="0" fontId="9" fillId="0" borderId="30" xfId="0" applyFont="1" applyBorder="1" applyAlignment="1">
      <alignment horizontal="center"/>
    </xf>
    <xf numFmtId="0" fontId="0" fillId="0" borderId="27" xfId="0" applyBorder="1"/>
    <xf numFmtId="0" fontId="14" fillId="0" borderId="30" xfId="0" applyFont="1" applyBorder="1"/>
    <xf numFmtId="0" fontId="8" fillId="0" borderId="30" xfId="0" applyFont="1" applyBorder="1"/>
    <xf numFmtId="0" fontId="9" fillId="0" borderId="30" xfId="0" applyFont="1" applyBorder="1"/>
    <xf numFmtId="0" fontId="8" fillId="0" borderId="0" xfId="0" applyFont="1" applyAlignment="1">
      <alignment horizontal="center"/>
    </xf>
    <xf numFmtId="0" fontId="19" fillId="0" borderId="0" xfId="0" applyFont="1"/>
    <xf numFmtId="0" fontId="19" fillId="0" borderId="27" xfId="0" applyFont="1" applyBorder="1"/>
    <xf numFmtId="0" fontId="8" fillId="0" borderId="83" xfId="0" applyFont="1" applyBorder="1"/>
    <xf numFmtId="0" fontId="0" fillId="0" borderId="63" xfId="0" applyBorder="1"/>
    <xf numFmtId="0" fontId="0" fillId="0" borderId="60" xfId="0" applyBorder="1"/>
    <xf numFmtId="0" fontId="8" fillId="10" borderId="41" xfId="0" applyFont="1" applyFill="1" applyBorder="1" applyAlignment="1">
      <alignment horizontal="center" vertical="center" wrapText="1"/>
    </xf>
    <xf numFmtId="0" fontId="8" fillId="10" borderId="35" xfId="0" applyFont="1" applyFill="1" applyBorder="1" applyAlignment="1">
      <alignment horizontal="center" vertical="center" wrapText="1"/>
    </xf>
    <xf numFmtId="0" fontId="8" fillId="10" borderId="40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center" vertical="center"/>
    </xf>
    <xf numFmtId="0" fontId="3" fillId="0" borderId="104" xfId="0" applyFont="1" applyBorder="1" applyAlignment="1">
      <alignment wrapText="1"/>
    </xf>
    <xf numFmtId="0" fontId="0" fillId="0" borderId="15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28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0" fillId="0" borderId="14" xfId="0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4" fillId="0" borderId="0" xfId="0" applyFont="1" applyAlignment="1">
      <alignment horizontal="left" vertical="top" indent="4"/>
    </xf>
    <xf numFmtId="0" fontId="0" fillId="0" borderId="0" xfId="0" applyAlignment="1">
      <alignment horizontal="left" indent="4"/>
    </xf>
    <xf numFmtId="0" fontId="10" fillId="0" borderId="0" xfId="0" applyFont="1" applyAlignment="1">
      <alignment horizontal="left" vertical="top" indent="4"/>
    </xf>
    <xf numFmtId="0" fontId="3" fillId="0" borderId="0" xfId="0" applyFont="1" applyAlignment="1">
      <alignment wrapText="1"/>
    </xf>
    <xf numFmtId="0" fontId="3" fillId="0" borderId="84" xfId="0" applyFont="1" applyBorder="1" applyAlignment="1">
      <alignment horizontal="center" vertical="center"/>
    </xf>
    <xf numFmtId="0" fontId="3" fillId="0" borderId="63" xfId="0" applyFont="1" applyBorder="1" applyAlignment="1">
      <alignment wrapText="1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" fontId="0" fillId="0" borderId="60" xfId="0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0" borderId="80" xfId="0" applyFont="1" applyBorder="1" applyAlignment="1">
      <alignment horizontal="left" vertical="top" wrapText="1"/>
    </xf>
    <xf numFmtId="0" fontId="14" fillId="0" borderId="60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20" fillId="0" borderId="105" xfId="0" applyFont="1" applyBorder="1" applyAlignment="1">
      <alignment vertical="center" textRotation="90" wrapText="1"/>
    </xf>
    <xf numFmtId="0" fontId="20" fillId="0" borderId="14" xfId="0" applyFont="1" applyBorder="1" applyAlignment="1">
      <alignment vertical="center" textRotation="90" wrapText="1"/>
    </xf>
    <xf numFmtId="0" fontId="20" fillId="0" borderId="59" xfId="0" applyFont="1" applyBorder="1" applyAlignment="1">
      <alignment vertical="center" textRotation="90" wrapText="1"/>
    </xf>
    <xf numFmtId="0" fontId="20" fillId="0" borderId="89" xfId="0" applyFont="1" applyBorder="1" applyAlignment="1">
      <alignment vertical="center" textRotation="90"/>
    </xf>
    <xf numFmtId="0" fontId="20" fillId="0" borderId="1" xfId="0" applyFont="1" applyBorder="1" applyAlignment="1">
      <alignment vertical="center" textRotation="90"/>
    </xf>
    <xf numFmtId="0" fontId="20" fillId="0" borderId="57" xfId="0" applyFont="1" applyBorder="1" applyAlignment="1">
      <alignment vertical="center" textRotation="90"/>
    </xf>
    <xf numFmtId="0" fontId="10" fillId="0" borderId="105" xfId="0" applyFont="1" applyBorder="1" applyAlignment="1">
      <alignment vertical="center" textRotation="90"/>
    </xf>
    <xf numFmtId="0" fontId="10" fillId="0" borderId="14" xfId="0" applyFont="1" applyBorder="1" applyAlignment="1">
      <alignment vertical="center" textRotation="90"/>
    </xf>
    <xf numFmtId="0" fontId="10" fillId="0" borderId="59" xfId="0" applyFont="1" applyBorder="1" applyAlignment="1">
      <alignment vertical="center" textRotation="90"/>
    </xf>
    <xf numFmtId="0" fontId="15" fillId="0" borderId="2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89" xfId="0" applyFont="1" applyBorder="1" applyAlignment="1">
      <alignment vertical="center" textRotation="90"/>
    </xf>
    <xf numFmtId="0" fontId="20" fillId="0" borderId="89" xfId="0" applyFont="1" applyBorder="1" applyAlignment="1">
      <alignment vertical="center" textRotation="90" wrapText="1"/>
    </xf>
    <xf numFmtId="0" fontId="20" fillId="0" borderId="1" xfId="0" applyFont="1" applyBorder="1" applyAlignment="1">
      <alignment vertical="center" textRotation="90" wrapText="1"/>
    </xf>
    <xf numFmtId="0" fontId="20" fillId="0" borderId="57" xfId="0" applyFont="1" applyBorder="1" applyAlignment="1">
      <alignment vertical="center" textRotation="90" wrapText="1"/>
    </xf>
    <xf numFmtId="0" fontId="10" fillId="4" borderId="106" xfId="0" applyFont="1" applyFill="1" applyBorder="1" applyAlignment="1">
      <alignment horizontal="center" vertical="center"/>
    </xf>
    <xf numFmtId="0" fontId="10" fillId="0" borderId="89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textRotation="90"/>
    </xf>
    <xf numFmtId="0" fontId="10" fillId="0" borderId="57" xfId="0" applyFont="1" applyBorder="1" applyAlignment="1">
      <alignment horizontal="center" vertical="center" textRotation="90"/>
    </xf>
    <xf numFmtId="0" fontId="14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0" fillId="4" borderId="42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center" vertical="center"/>
    </xf>
    <xf numFmtId="0" fontId="10" fillId="4" borderId="53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10" fillId="4" borderId="75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10" fillId="4" borderId="76" xfId="0" applyFont="1" applyFill="1" applyBorder="1" applyAlignment="1">
      <alignment horizontal="center" vertical="center" wrapText="1"/>
    </xf>
    <xf numFmtId="0" fontId="10" fillId="4" borderId="81" xfId="0" applyFont="1" applyFill="1" applyBorder="1" applyAlignment="1">
      <alignment horizontal="center" vertical="center"/>
    </xf>
    <xf numFmtId="0" fontId="10" fillId="4" borderId="88" xfId="0" applyFont="1" applyFill="1" applyBorder="1" applyAlignment="1">
      <alignment horizontal="center" vertical="center"/>
    </xf>
    <xf numFmtId="0" fontId="10" fillId="4" borderId="8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87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65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9" fillId="9" borderId="90" xfId="0" applyFont="1" applyFill="1" applyBorder="1" applyAlignment="1">
      <alignment horizontal="center" vertical="center" textRotation="90"/>
    </xf>
    <xf numFmtId="0" fontId="9" fillId="9" borderId="17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textRotation="90"/>
    </xf>
    <xf numFmtId="0" fontId="10" fillId="13" borderId="70" xfId="0" applyFont="1" applyFill="1" applyBorder="1" applyAlignment="1">
      <alignment horizontal="center" vertical="center" textRotation="90"/>
    </xf>
    <xf numFmtId="0" fontId="10" fillId="13" borderId="16" xfId="0" applyFont="1" applyFill="1" applyBorder="1" applyAlignment="1">
      <alignment horizontal="center" vertical="center" textRotation="90"/>
    </xf>
    <xf numFmtId="0" fontId="10" fillId="13" borderId="56" xfId="0" applyFont="1" applyFill="1" applyBorder="1" applyAlignment="1">
      <alignment horizontal="center" vertical="center" textRotation="90"/>
    </xf>
    <xf numFmtId="0" fontId="9" fillId="4" borderId="11" xfId="0" applyFont="1" applyFill="1" applyBorder="1" applyAlignment="1">
      <alignment horizontal="center" vertical="center" textRotation="90"/>
    </xf>
    <xf numFmtId="0" fontId="9" fillId="4" borderId="62" xfId="0" applyFont="1" applyFill="1" applyBorder="1" applyAlignment="1">
      <alignment horizontal="center" vertical="center" textRotation="90"/>
    </xf>
    <xf numFmtId="0" fontId="10" fillId="8" borderId="30" xfId="0" applyFont="1" applyFill="1" applyBorder="1" applyAlignment="1">
      <alignment horizontal="center" vertical="center" textRotation="90"/>
    </xf>
    <xf numFmtId="0" fontId="10" fillId="8" borderId="83" xfId="0" applyFont="1" applyFill="1" applyBorder="1" applyAlignment="1">
      <alignment horizontal="center" vertical="center" textRotation="90"/>
    </xf>
    <xf numFmtId="0" fontId="9" fillId="7" borderId="73" xfId="0" applyFont="1" applyFill="1" applyBorder="1" applyAlignment="1">
      <alignment horizontal="center" vertical="center" textRotation="90"/>
    </xf>
    <xf numFmtId="0" fontId="9" fillId="7" borderId="24" xfId="0" applyFont="1" applyFill="1" applyBorder="1" applyAlignment="1">
      <alignment horizontal="center" vertical="center" textRotation="90"/>
    </xf>
    <xf numFmtId="0" fontId="9" fillId="5" borderId="70" xfId="0" applyFont="1" applyFill="1" applyBorder="1" applyAlignment="1">
      <alignment horizontal="center" vertical="center" textRotation="90"/>
    </xf>
    <xf numFmtId="0" fontId="9" fillId="5" borderId="16" xfId="0" applyFont="1" applyFill="1" applyBorder="1" applyAlignment="1">
      <alignment horizontal="center" vertical="center" textRotation="90"/>
    </xf>
    <xf numFmtId="0" fontId="9" fillId="5" borderId="56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10" fillId="3" borderId="45" xfId="0" applyFont="1" applyFill="1" applyBorder="1" applyAlignment="1">
      <alignment vertical="center"/>
    </xf>
    <xf numFmtId="0" fontId="10" fillId="3" borderId="41" xfId="0" applyFont="1" applyFill="1" applyBorder="1" applyAlignment="1">
      <alignment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71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textRotation="255"/>
    </xf>
    <xf numFmtId="0" fontId="10" fillId="0" borderId="73" xfId="0" applyFont="1" applyBorder="1" applyAlignment="1">
      <alignment horizontal="center" vertical="center" textRotation="255"/>
    </xf>
    <xf numFmtId="0" fontId="10" fillId="0" borderId="24" xfId="0" applyFont="1" applyBorder="1" applyAlignment="1">
      <alignment horizontal="center" vertical="center" textRotation="255"/>
    </xf>
    <xf numFmtId="0" fontId="10" fillId="0" borderId="20" xfId="0" applyFont="1" applyBorder="1" applyAlignment="1">
      <alignment horizontal="center" vertical="center" textRotation="255"/>
    </xf>
    <xf numFmtId="0" fontId="10" fillId="0" borderId="48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0" fillId="9" borderId="91" xfId="0" applyFont="1" applyFill="1" applyBorder="1" applyAlignment="1">
      <alignment horizontal="center" vertical="center" textRotation="90"/>
    </xf>
    <xf numFmtId="0" fontId="10" fillId="9" borderId="11" xfId="0" applyFont="1" applyFill="1" applyBorder="1" applyAlignment="1">
      <alignment horizontal="center" vertical="center" textRotation="90"/>
    </xf>
    <xf numFmtId="0" fontId="10" fillId="9" borderId="62" xfId="0" applyFont="1" applyFill="1" applyBorder="1" applyAlignment="1">
      <alignment horizontal="center" vertical="center" textRotation="90"/>
    </xf>
    <xf numFmtId="0" fontId="10" fillId="4" borderId="69" xfId="0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52" xfId="0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10" fillId="9" borderId="97" xfId="0" applyFont="1" applyFill="1" applyBorder="1" applyAlignment="1">
      <alignment horizontal="center" vertical="center" textRotation="90"/>
    </xf>
    <xf numFmtId="0" fontId="10" fillId="9" borderId="30" xfId="0" applyFont="1" applyFill="1" applyBorder="1" applyAlignment="1">
      <alignment horizontal="center" vertical="center" textRotation="90"/>
    </xf>
    <xf numFmtId="0" fontId="10" fillId="9" borderId="83" xfId="0" applyFont="1" applyFill="1" applyBorder="1" applyAlignment="1">
      <alignment horizontal="center" vertical="center" textRotation="90"/>
    </xf>
    <xf numFmtId="0" fontId="20" fillId="4" borderId="90" xfId="0" applyFont="1" applyFill="1" applyBorder="1" applyAlignment="1">
      <alignment horizontal="center" vertical="center" textRotation="90"/>
    </xf>
    <xf numFmtId="0" fontId="20" fillId="4" borderId="17" xfId="0" applyFont="1" applyFill="1" applyBorder="1" applyAlignment="1">
      <alignment horizontal="center" vertical="center" textRotation="90"/>
    </xf>
    <xf numFmtId="0" fontId="20" fillId="4" borderId="25" xfId="0" applyFont="1" applyFill="1" applyBorder="1" applyAlignment="1">
      <alignment horizontal="center" vertical="center" textRotation="90"/>
    </xf>
    <xf numFmtId="0" fontId="20" fillId="7" borderId="73" xfId="0" applyFont="1" applyFill="1" applyBorder="1" applyAlignment="1">
      <alignment horizontal="center" vertical="center" textRotation="90"/>
    </xf>
    <xf numFmtId="0" fontId="20" fillId="7" borderId="24" xfId="0" applyFont="1" applyFill="1" applyBorder="1" applyAlignment="1">
      <alignment horizontal="center" vertical="center" textRotation="90"/>
    </xf>
    <xf numFmtId="0" fontId="20" fillId="5" borderId="11" xfId="0" applyFont="1" applyFill="1" applyBorder="1" applyAlignment="1">
      <alignment horizontal="center" vertical="center" textRotation="90"/>
    </xf>
    <xf numFmtId="0" fontId="20" fillId="5" borderId="62" xfId="0" applyFont="1" applyFill="1" applyBorder="1" applyAlignment="1">
      <alignment horizontal="center" vertical="center" textRotation="90"/>
    </xf>
    <xf numFmtId="0" fontId="11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0" fillId="3" borderId="1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39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 textRotation="255"/>
    </xf>
    <xf numFmtId="0" fontId="10" fillId="0" borderId="18" xfId="0" applyFont="1" applyBorder="1" applyAlignment="1">
      <alignment horizontal="center" vertical="center" textRotation="255"/>
    </xf>
    <xf numFmtId="0" fontId="10" fillId="0" borderId="70" xfId="0" applyFont="1" applyBorder="1" applyAlignment="1">
      <alignment horizontal="center" vertical="center" textRotation="255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10" fillId="3" borderId="93" xfId="0" applyFont="1" applyFill="1" applyBorder="1" applyAlignment="1">
      <alignment horizontal="center" vertical="center"/>
    </xf>
    <xf numFmtId="0" fontId="10" fillId="3" borderId="94" xfId="0" applyFont="1" applyFill="1" applyBorder="1" applyAlignment="1">
      <alignment horizontal="center" vertical="center"/>
    </xf>
    <xf numFmtId="0" fontId="18" fillId="11" borderId="100" xfId="0" applyFont="1" applyFill="1" applyBorder="1" applyAlignment="1">
      <alignment horizontal="center"/>
    </xf>
    <xf numFmtId="0" fontId="18" fillId="11" borderId="101" xfId="0" applyFont="1" applyFill="1" applyBorder="1" applyAlignment="1">
      <alignment horizontal="center"/>
    </xf>
    <xf numFmtId="0" fontId="18" fillId="11" borderId="102" xfId="0" applyFont="1" applyFill="1" applyBorder="1" applyAlignment="1">
      <alignment horizontal="center"/>
    </xf>
    <xf numFmtId="0" fontId="10" fillId="3" borderId="50" xfId="0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86" xfId="0" applyFont="1" applyFill="1" applyBorder="1" applyAlignment="1">
      <alignment horizontal="center" vertical="center"/>
    </xf>
    <xf numFmtId="0" fontId="10" fillId="3" borderId="87" xfId="0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0" fontId="10" fillId="12" borderId="65" xfId="0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0" fontId="14" fillId="0" borderId="89" xfId="0" applyFont="1" applyFill="1" applyBorder="1" applyAlignment="1">
      <alignment vertical="center" textRotation="90"/>
    </xf>
    <xf numFmtId="0" fontId="14" fillId="0" borderId="1" xfId="0" applyFont="1" applyFill="1" applyBorder="1" applyAlignment="1">
      <alignment vertical="center" textRotation="90"/>
    </xf>
    <xf numFmtId="0" fontId="14" fillId="0" borderId="57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8</xdr:col>
      <xdr:colOff>0</xdr:colOff>
      <xdr:row>1</xdr:row>
      <xdr:rowOff>285750</xdr:rowOff>
    </xdr:to>
    <xdr:pic>
      <xdr:nvPicPr>
        <xdr:cNvPr id="2" name="Picture 1" descr="Logo SMA 78">
          <a:extLst>
            <a:ext uri="{FF2B5EF4-FFF2-40B4-BE49-F238E27FC236}">
              <a16:creationId xmlns:a16="http://schemas.microsoft.com/office/drawing/2014/main" id="{735D87F2-92E1-42D4-B421-230EAEB9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76200"/>
          <a:ext cx="68580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66675</xdr:rowOff>
    </xdr:from>
    <xdr:to>
      <xdr:col>0</xdr:col>
      <xdr:colOff>657225</xdr:colOff>
      <xdr:row>1</xdr:row>
      <xdr:rowOff>323850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4057E-9BE0-4040-9CC6-DAF0A8F3B8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"/>
          <a:ext cx="638175" cy="60769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102784</xdr:colOff>
      <xdr:row>0</xdr:row>
      <xdr:rowOff>58151</xdr:rowOff>
    </xdr:from>
    <xdr:to>
      <xdr:col>31</xdr:col>
      <xdr:colOff>240632</xdr:colOff>
      <xdr:row>1</xdr:row>
      <xdr:rowOff>328863</xdr:rowOff>
    </xdr:to>
    <xdr:pic>
      <xdr:nvPicPr>
        <xdr:cNvPr id="2" name="Picture 1" descr="Logo SMA 78">
          <a:extLst>
            <a:ext uri="{FF2B5EF4-FFF2-40B4-BE49-F238E27FC236}">
              <a16:creationId xmlns:a16="http://schemas.microsoft.com/office/drawing/2014/main" id="{DDE20B3A-C2AB-4755-91E9-71D597EE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0877464" y="58151"/>
          <a:ext cx="549328" cy="46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70182</xdr:rowOff>
    </xdr:from>
    <xdr:to>
      <xdr:col>1</xdr:col>
      <xdr:colOff>349417</xdr:colOff>
      <xdr:row>1</xdr:row>
      <xdr:rowOff>441156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5208C-40B7-4DD6-8711-3B6D66EC869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82"/>
          <a:ext cx="600877" cy="56909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163626</xdr:colOff>
      <xdr:row>0</xdr:row>
      <xdr:rowOff>68033</xdr:rowOff>
    </xdr:from>
    <xdr:to>
      <xdr:col>30</xdr:col>
      <xdr:colOff>116001</xdr:colOff>
      <xdr:row>1</xdr:row>
      <xdr:rowOff>340178</xdr:rowOff>
    </xdr:to>
    <xdr:pic>
      <xdr:nvPicPr>
        <xdr:cNvPr id="3" name="Picture 1" descr="Logo SMA 7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2569939" y="68033"/>
          <a:ext cx="631031" cy="59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47625</xdr:rowOff>
    </xdr:from>
    <xdr:to>
      <xdr:col>1</xdr:col>
      <xdr:colOff>514350</xdr:colOff>
      <xdr:row>1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25"/>
          <a:ext cx="676275" cy="6096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37254</xdr:colOff>
      <xdr:row>0</xdr:row>
      <xdr:rowOff>59266</xdr:rowOff>
    </xdr:from>
    <xdr:to>
      <xdr:col>3</xdr:col>
      <xdr:colOff>646854</xdr:colOff>
      <xdr:row>1</xdr:row>
      <xdr:rowOff>226906</xdr:rowOff>
    </xdr:to>
    <xdr:pic>
      <xdr:nvPicPr>
        <xdr:cNvPr id="3" name="Picture 2" descr="Logo SMA 78">
          <a:extLst>
            <a:ext uri="{FF2B5EF4-FFF2-40B4-BE49-F238E27FC236}">
              <a16:creationId xmlns:a16="http://schemas.microsoft.com/office/drawing/2014/main" id="{67DEB288-12CC-452D-896F-BAD9EEE5A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8321" y="59266"/>
          <a:ext cx="609600" cy="540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42333</xdr:rowOff>
    </xdr:from>
    <xdr:to>
      <xdr:col>0</xdr:col>
      <xdr:colOff>701101</xdr:colOff>
      <xdr:row>1</xdr:row>
      <xdr:rowOff>321733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EB671E-6321-F3D5-A85E-6784869B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33"/>
          <a:ext cx="701101" cy="71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39158</xdr:rowOff>
    </xdr:from>
    <xdr:to>
      <xdr:col>1</xdr:col>
      <xdr:colOff>287867</xdr:colOff>
      <xdr:row>2</xdr:row>
      <xdr:rowOff>8467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B06911-D4C5-4D40-9C8A-4A83AB8124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58"/>
          <a:ext cx="635000" cy="646642"/>
        </a:xfrm>
        <a:prstGeom prst="rect">
          <a:avLst/>
        </a:prstGeom>
        <a:noFill/>
      </xdr:spPr>
    </xdr:pic>
    <xdr:clientData/>
  </xdr:twoCellAnchor>
  <xdr:twoCellAnchor>
    <xdr:from>
      <xdr:col>5</xdr:col>
      <xdr:colOff>59266</xdr:colOff>
      <xdr:row>0</xdr:row>
      <xdr:rowOff>50800</xdr:rowOff>
    </xdr:from>
    <xdr:to>
      <xdr:col>6</xdr:col>
      <xdr:colOff>0</xdr:colOff>
      <xdr:row>1</xdr:row>
      <xdr:rowOff>322945</xdr:rowOff>
    </xdr:to>
    <xdr:pic>
      <xdr:nvPicPr>
        <xdr:cNvPr id="5" name="Picture 1" descr="Logo SMA 78">
          <a:extLst>
            <a:ext uri="{FF2B5EF4-FFF2-40B4-BE49-F238E27FC236}">
              <a16:creationId xmlns:a16="http://schemas.microsoft.com/office/drawing/2014/main" id="{4E8D8EB5-22C8-414F-AE10-A1D19122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46733" y="50800"/>
          <a:ext cx="626534" cy="593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16934</xdr:colOff>
      <xdr:row>0</xdr:row>
      <xdr:rowOff>1282768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E8E68-5B66-4697-BE7F-F74169FD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91867" cy="1282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A3F2-8947-4D1B-93F2-A407E67F9D6C}">
  <dimension ref="A1:H34"/>
  <sheetViews>
    <sheetView tabSelected="1" view="pageBreakPreview" topLeftCell="A13" zoomScaleSheetLayoutView="100" workbookViewId="0">
      <selection activeCell="F22" sqref="F22"/>
    </sheetView>
  </sheetViews>
  <sheetFormatPr defaultRowHeight="13.2" x14ac:dyDescent="0.25"/>
  <cols>
    <col min="1" max="1" width="10.6640625" customWidth="1"/>
    <col min="2" max="2" width="37.5546875" customWidth="1"/>
    <col min="3" max="4" width="12.6640625" customWidth="1"/>
    <col min="5" max="5" width="13.44140625" customWidth="1"/>
    <col min="6" max="6" width="12.6640625" customWidth="1"/>
    <col min="7" max="7" width="0.109375" customWidth="1"/>
    <col min="8" max="8" width="10.5546875" customWidth="1"/>
  </cols>
  <sheetData>
    <row r="1" spans="1:8" ht="27.75" customHeight="1" x14ac:dyDescent="0.25">
      <c r="A1" s="272"/>
      <c r="B1" s="273" t="s">
        <v>80</v>
      </c>
      <c r="C1" s="274"/>
      <c r="D1" s="274"/>
      <c r="E1" s="274"/>
      <c r="F1" s="274"/>
      <c r="G1" s="275"/>
      <c r="H1" s="259"/>
    </row>
    <row r="2" spans="1:8" ht="29.25" customHeight="1" x14ac:dyDescent="0.25">
      <c r="A2" s="272"/>
      <c r="B2" s="276"/>
      <c r="C2" s="277"/>
      <c r="D2" s="277"/>
      <c r="E2" s="277"/>
      <c r="F2" s="277"/>
      <c r="G2" s="278"/>
      <c r="H2" s="259"/>
    </row>
    <row r="4" spans="1:8" ht="13.8" x14ac:dyDescent="0.25">
      <c r="A4" s="8" t="s">
        <v>26</v>
      </c>
      <c r="B4" s="8"/>
      <c r="C4" s="8"/>
      <c r="D4" s="8"/>
      <c r="E4" s="8"/>
      <c r="F4" s="8"/>
      <c r="G4" s="8"/>
      <c r="H4" s="8"/>
    </row>
    <row r="5" spans="1:8" ht="13.8" x14ac:dyDescent="0.25">
      <c r="A5" s="8" t="s">
        <v>43</v>
      </c>
      <c r="B5" s="8"/>
      <c r="C5" s="8"/>
      <c r="D5" s="8"/>
      <c r="E5" s="8"/>
      <c r="F5" s="8"/>
      <c r="G5" s="8"/>
      <c r="H5" s="8"/>
    </row>
    <row r="6" spans="1:8" ht="13.8" x14ac:dyDescent="0.25">
      <c r="A6" s="8" t="s">
        <v>94</v>
      </c>
      <c r="B6" s="8"/>
      <c r="C6" s="8"/>
      <c r="D6" s="8"/>
      <c r="E6" s="8"/>
      <c r="F6" s="8"/>
      <c r="G6" s="8"/>
      <c r="H6" s="8"/>
    </row>
    <row r="7" spans="1:8" ht="14.4" thickBot="1" x14ac:dyDescent="0.3">
      <c r="A7" s="8"/>
      <c r="B7" s="8"/>
      <c r="C7" s="8"/>
      <c r="D7" s="8"/>
      <c r="E7" s="8"/>
      <c r="F7" s="8"/>
      <c r="G7" s="8"/>
      <c r="H7" s="8"/>
    </row>
    <row r="8" spans="1:8" ht="20.100000000000001" customHeight="1" x14ac:dyDescent="0.25">
      <c r="A8" s="260" t="s">
        <v>21</v>
      </c>
      <c r="B8" s="262" t="s">
        <v>27</v>
      </c>
      <c r="C8" s="262" t="s">
        <v>30</v>
      </c>
      <c r="D8" s="262"/>
      <c r="E8" s="262" t="s">
        <v>30</v>
      </c>
      <c r="F8" s="262"/>
      <c r="G8" s="58"/>
      <c r="H8" s="264" t="s">
        <v>3</v>
      </c>
    </row>
    <row r="9" spans="1:8" ht="20.100000000000001" customHeight="1" thickBot="1" x14ac:dyDescent="0.3">
      <c r="A9" s="261"/>
      <c r="B9" s="263"/>
      <c r="C9" s="59" t="s">
        <v>28</v>
      </c>
      <c r="D9" s="59" t="s">
        <v>29</v>
      </c>
      <c r="E9" s="59" t="s">
        <v>31</v>
      </c>
      <c r="F9" s="59" t="s">
        <v>32</v>
      </c>
      <c r="G9" s="60"/>
      <c r="H9" s="265"/>
    </row>
    <row r="10" spans="1:8" ht="20.100000000000001" customHeight="1" thickTop="1" x14ac:dyDescent="0.25">
      <c r="A10" s="266" t="s">
        <v>36</v>
      </c>
      <c r="B10" s="45" t="s">
        <v>4</v>
      </c>
      <c r="C10" s="24">
        <v>5</v>
      </c>
      <c r="D10" s="24">
        <v>2</v>
      </c>
      <c r="E10" s="24"/>
      <c r="F10" s="24">
        <f>D10*E10</f>
        <v>0</v>
      </c>
      <c r="G10" s="24"/>
      <c r="H10" s="198" t="s">
        <v>73</v>
      </c>
    </row>
    <row r="11" spans="1:8" ht="20.100000000000001" customHeight="1" x14ac:dyDescent="0.25">
      <c r="A11" s="267"/>
      <c r="B11" s="43" t="s">
        <v>5</v>
      </c>
      <c r="C11" s="13">
        <v>4</v>
      </c>
      <c r="D11" s="13">
        <v>4</v>
      </c>
      <c r="E11" s="13"/>
      <c r="F11" s="24">
        <f t="shared" ref="F11:F15" si="0">D11*E11</f>
        <v>0</v>
      </c>
      <c r="G11" s="13"/>
      <c r="H11" s="26"/>
    </row>
    <row r="12" spans="1:8" ht="20.100000000000001" customHeight="1" x14ac:dyDescent="0.25">
      <c r="A12" s="267"/>
      <c r="B12" s="43" t="s">
        <v>6</v>
      </c>
      <c r="C12" s="13">
        <v>5</v>
      </c>
      <c r="D12" s="13">
        <v>5</v>
      </c>
      <c r="E12" s="13"/>
      <c r="F12" s="24">
        <f t="shared" si="0"/>
        <v>0</v>
      </c>
      <c r="G12" s="13"/>
      <c r="H12" s="26"/>
    </row>
    <row r="13" spans="1:8" ht="20.100000000000001" customHeight="1" x14ac:dyDescent="0.25">
      <c r="A13" s="267"/>
      <c r="B13" s="43" t="s">
        <v>7</v>
      </c>
      <c r="C13" s="13">
        <v>4</v>
      </c>
      <c r="D13" s="13">
        <v>4</v>
      </c>
      <c r="E13" s="13"/>
      <c r="F13" s="24">
        <f t="shared" si="0"/>
        <v>0</v>
      </c>
      <c r="G13" s="13"/>
      <c r="H13" s="26"/>
    </row>
    <row r="14" spans="1:8" ht="13.8" x14ac:dyDescent="0.25">
      <c r="A14" s="267"/>
      <c r="B14" s="43" t="s">
        <v>33</v>
      </c>
      <c r="C14" s="13">
        <v>4</v>
      </c>
      <c r="D14" s="13">
        <v>4</v>
      </c>
      <c r="E14" s="13"/>
      <c r="F14" s="24">
        <f t="shared" si="0"/>
        <v>0</v>
      </c>
      <c r="G14" s="13"/>
      <c r="H14" s="197"/>
    </row>
    <row r="15" spans="1:8" ht="51.6" thickBot="1" x14ac:dyDescent="0.3">
      <c r="A15" s="267"/>
      <c r="B15" s="52" t="s">
        <v>9</v>
      </c>
      <c r="C15" s="32">
        <v>5</v>
      </c>
      <c r="D15" s="32">
        <v>0</v>
      </c>
      <c r="E15" s="32"/>
      <c r="F15" s="32">
        <f t="shared" si="0"/>
        <v>0</v>
      </c>
      <c r="G15" s="32"/>
      <c r="H15" s="196" t="s">
        <v>97</v>
      </c>
    </row>
    <row r="16" spans="1:8" ht="20.100000000000001" customHeight="1" thickBot="1" x14ac:dyDescent="0.3">
      <c r="A16" s="268"/>
      <c r="B16" s="53" t="s">
        <v>30</v>
      </c>
      <c r="C16" s="53">
        <f>SUM(C10:C15)</f>
        <v>27</v>
      </c>
      <c r="D16" s="53">
        <f t="shared" ref="D16:F16" si="1">SUM(D10:D15)</f>
        <v>19</v>
      </c>
      <c r="E16" s="53">
        <f t="shared" si="1"/>
        <v>0</v>
      </c>
      <c r="F16" s="53">
        <f t="shared" si="1"/>
        <v>0</v>
      </c>
      <c r="G16" s="42"/>
      <c r="H16" s="46"/>
    </row>
    <row r="17" spans="1:8" ht="20.100000000000001" customHeight="1" thickBot="1" x14ac:dyDescent="0.3">
      <c r="A17" s="49"/>
      <c r="B17" s="54"/>
      <c r="C17" s="50"/>
      <c r="D17" s="50"/>
      <c r="E17" s="50"/>
      <c r="F17" s="50"/>
      <c r="G17" s="50"/>
      <c r="H17" s="51"/>
    </row>
    <row r="18" spans="1:8" ht="20.100000000000001" customHeight="1" x14ac:dyDescent="0.25">
      <c r="A18" s="269" t="s">
        <v>34</v>
      </c>
      <c r="B18" s="55" t="s">
        <v>12</v>
      </c>
      <c r="C18" s="47">
        <v>4</v>
      </c>
      <c r="D18" s="47">
        <v>4</v>
      </c>
      <c r="E18" s="47"/>
      <c r="F18" s="47">
        <f>D18*E18</f>
        <v>0</v>
      </c>
      <c r="G18" s="47"/>
      <c r="H18" s="48"/>
    </row>
    <row r="19" spans="1:8" ht="20.399999999999999" x14ac:dyDescent="0.25">
      <c r="A19" s="267"/>
      <c r="B19" s="43" t="s">
        <v>13</v>
      </c>
      <c r="C19" s="13">
        <v>4</v>
      </c>
      <c r="D19" s="13">
        <v>3</v>
      </c>
      <c r="E19" s="13"/>
      <c r="F19" s="13">
        <f t="shared" ref="F19:F23" si="2">D19*E19</f>
        <v>0</v>
      </c>
      <c r="G19" s="13"/>
      <c r="H19" s="197" t="s">
        <v>84</v>
      </c>
    </row>
    <row r="20" spans="1:8" ht="24.6" customHeight="1" x14ac:dyDescent="0.25">
      <c r="A20" s="267"/>
      <c r="B20" s="43" t="s">
        <v>14</v>
      </c>
      <c r="C20" s="13">
        <v>5</v>
      </c>
      <c r="D20" s="13">
        <v>3</v>
      </c>
      <c r="E20" s="13"/>
      <c r="F20" s="13">
        <f t="shared" si="2"/>
        <v>0</v>
      </c>
      <c r="G20" s="13"/>
      <c r="H20" s="197" t="s">
        <v>81</v>
      </c>
    </row>
    <row r="21" spans="1:8" ht="20.100000000000001" customHeight="1" x14ac:dyDescent="0.25">
      <c r="A21" s="267"/>
      <c r="B21" s="43" t="s">
        <v>15</v>
      </c>
      <c r="C21" s="13">
        <v>4</v>
      </c>
      <c r="D21" s="13">
        <v>4</v>
      </c>
      <c r="E21" s="13"/>
      <c r="F21" s="13">
        <f t="shared" si="2"/>
        <v>0</v>
      </c>
      <c r="G21" s="13"/>
      <c r="H21" s="199"/>
    </row>
    <row r="22" spans="1:8" ht="20.100000000000001" customHeight="1" x14ac:dyDescent="0.25">
      <c r="A22" s="267"/>
      <c r="B22" s="43" t="s">
        <v>16</v>
      </c>
      <c r="C22" s="13">
        <v>4</v>
      </c>
      <c r="D22" s="13">
        <v>4</v>
      </c>
      <c r="E22" s="13"/>
      <c r="F22" s="13">
        <f t="shared" si="2"/>
        <v>0</v>
      </c>
      <c r="G22" s="13"/>
      <c r="H22" s="199"/>
    </row>
    <row r="23" spans="1:8" ht="51.6" thickBot="1" x14ac:dyDescent="0.3">
      <c r="A23" s="267"/>
      <c r="B23" s="52" t="s">
        <v>17</v>
      </c>
      <c r="C23" s="32">
        <v>4</v>
      </c>
      <c r="D23" s="32">
        <v>0</v>
      </c>
      <c r="E23" s="32"/>
      <c r="F23" s="32">
        <f t="shared" si="2"/>
        <v>0</v>
      </c>
      <c r="G23" s="32"/>
      <c r="H23" s="196" t="s">
        <v>82</v>
      </c>
    </row>
    <row r="24" spans="1:8" ht="20.100000000000001" customHeight="1" thickBot="1" x14ac:dyDescent="0.3">
      <c r="A24" s="268"/>
      <c r="B24" s="53" t="s">
        <v>30</v>
      </c>
      <c r="C24" s="53">
        <f>SUM(C18:C23)</f>
        <v>25</v>
      </c>
      <c r="D24" s="53">
        <f t="shared" ref="D24:G24" si="3">SUM(D18:D23)</f>
        <v>18</v>
      </c>
      <c r="E24" s="53">
        <f t="shared" si="3"/>
        <v>0</v>
      </c>
      <c r="F24" s="53">
        <f t="shared" si="3"/>
        <v>0</v>
      </c>
      <c r="G24" s="42">
        <f t="shared" si="3"/>
        <v>0</v>
      </c>
      <c r="H24" s="46"/>
    </row>
    <row r="25" spans="1:8" ht="20.100000000000001" customHeight="1" x14ac:dyDescent="0.25">
      <c r="A25" s="270" t="s">
        <v>35</v>
      </c>
      <c r="B25" s="271"/>
      <c r="C25" s="57">
        <f>C16+C24</f>
        <v>52</v>
      </c>
      <c r="D25" s="57">
        <f t="shared" ref="D25:G25" si="4">D16+D24</f>
        <v>37</v>
      </c>
      <c r="E25" s="57">
        <f t="shared" si="4"/>
        <v>0</v>
      </c>
      <c r="F25" s="57">
        <f t="shared" si="4"/>
        <v>0</v>
      </c>
      <c r="G25" s="56">
        <f t="shared" si="4"/>
        <v>0</v>
      </c>
      <c r="H25" s="45"/>
    </row>
    <row r="26" spans="1:8" ht="13.8" x14ac:dyDescent="0.25">
      <c r="A26" s="8"/>
      <c r="B26" s="8"/>
      <c r="C26" s="8"/>
      <c r="D26" s="8"/>
      <c r="E26" s="8"/>
      <c r="F26" s="8"/>
      <c r="G26" s="8"/>
      <c r="H26" s="8"/>
    </row>
    <row r="27" spans="1:8" ht="13.8" x14ac:dyDescent="0.25">
      <c r="A27" s="8"/>
      <c r="B27" s="8"/>
      <c r="C27" s="8"/>
      <c r="D27" s="8"/>
      <c r="E27" s="8"/>
      <c r="F27" s="8"/>
      <c r="G27" s="8"/>
      <c r="H27" s="8"/>
    </row>
    <row r="28" spans="1:8" ht="13.8" x14ac:dyDescent="0.25">
      <c r="A28" s="8"/>
      <c r="B28" s="8"/>
      <c r="C28" s="8"/>
      <c r="D28" s="8"/>
      <c r="E28" s="8"/>
      <c r="F28" s="8"/>
      <c r="G28" s="8"/>
      <c r="H28" s="8"/>
    </row>
    <row r="29" spans="1:8" ht="13.8" x14ac:dyDescent="0.25">
      <c r="A29" s="8" t="s">
        <v>10</v>
      </c>
      <c r="B29" s="8"/>
      <c r="C29" s="8"/>
      <c r="D29" s="8"/>
      <c r="E29" s="8"/>
      <c r="F29" s="8"/>
      <c r="G29" s="8"/>
      <c r="H29" s="9" t="s">
        <v>86</v>
      </c>
    </row>
    <row r="30" spans="1:8" ht="13.8" x14ac:dyDescent="0.25">
      <c r="A30" s="8" t="s">
        <v>18</v>
      </c>
      <c r="B30" s="8"/>
      <c r="C30" s="8"/>
      <c r="D30" s="8"/>
      <c r="E30" s="8"/>
      <c r="F30" s="8"/>
      <c r="G30" s="8"/>
      <c r="H30" s="9" t="s">
        <v>46</v>
      </c>
    </row>
    <row r="31" spans="1:8" ht="13.8" x14ac:dyDescent="0.25">
      <c r="A31" s="8"/>
      <c r="B31" s="8"/>
      <c r="C31" s="8"/>
      <c r="D31" s="8"/>
      <c r="E31" s="8"/>
      <c r="F31" s="8"/>
      <c r="G31" s="8"/>
      <c r="H31" s="10"/>
    </row>
    <row r="32" spans="1:8" ht="13.8" x14ac:dyDescent="0.25">
      <c r="A32" s="8"/>
      <c r="B32" s="8"/>
      <c r="C32" s="8"/>
      <c r="D32" s="8"/>
      <c r="E32" s="8"/>
      <c r="F32" s="8"/>
      <c r="G32" s="8"/>
      <c r="H32" s="10"/>
    </row>
    <row r="33" spans="1:8" ht="13.8" x14ac:dyDescent="0.25">
      <c r="A33" s="17" t="s">
        <v>37</v>
      </c>
      <c r="B33" s="8"/>
      <c r="C33" s="8"/>
      <c r="D33" s="8"/>
      <c r="E33" s="8"/>
      <c r="F33" s="8"/>
      <c r="G33" s="8"/>
      <c r="H33" s="9" t="s">
        <v>44</v>
      </c>
    </row>
    <row r="34" spans="1:8" ht="13.8" x14ac:dyDescent="0.25">
      <c r="A34" s="8" t="s">
        <v>38</v>
      </c>
      <c r="B34" s="8"/>
      <c r="C34" s="8"/>
      <c r="D34" s="8"/>
      <c r="E34" s="8"/>
      <c r="F34" s="8"/>
      <c r="G34" s="8"/>
      <c r="H34" s="9" t="s">
        <v>45</v>
      </c>
    </row>
  </sheetData>
  <mergeCells count="11">
    <mergeCell ref="A10:A16"/>
    <mergeCell ref="A18:A24"/>
    <mergeCell ref="A25:B25"/>
    <mergeCell ref="A1:A2"/>
    <mergeCell ref="B1:G2"/>
    <mergeCell ref="H1:H2"/>
    <mergeCell ref="A8:A9"/>
    <mergeCell ref="B8:B9"/>
    <mergeCell ref="C8:D8"/>
    <mergeCell ref="E8:F8"/>
    <mergeCell ref="H8:H9"/>
  </mergeCells>
  <pageMargins left="0.74803149606299213" right="0.35433070866141736" top="0.47244094488188981" bottom="0.51181102362204722" header="0.35433070866141736" footer="0.35433070866141736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4127-4846-4645-88D1-7C686F37A5C6}">
  <dimension ref="A1:AY23"/>
  <sheetViews>
    <sheetView view="pageBreakPreview" topLeftCell="A4" zoomScaleSheetLayoutView="100" workbookViewId="0">
      <selection activeCell="U16" sqref="U16"/>
    </sheetView>
  </sheetViews>
  <sheetFormatPr defaultRowHeight="13.2" x14ac:dyDescent="0.25"/>
  <cols>
    <col min="1" max="1" width="3.6640625" customWidth="1"/>
    <col min="2" max="2" width="5.5546875" customWidth="1"/>
    <col min="3" max="3" width="48.88671875" customWidth="1"/>
    <col min="4" max="4" width="9.33203125" style="4" customWidth="1"/>
    <col min="5" max="26" width="3.6640625" customWidth="1"/>
    <col min="27" max="31" width="3" customWidth="1"/>
    <col min="32" max="32" width="4.5546875" customWidth="1"/>
  </cols>
  <sheetData>
    <row r="1" spans="1:51" s="3" customFormat="1" ht="15.75" customHeight="1" x14ac:dyDescent="0.25">
      <c r="A1" s="209"/>
      <c r="B1" s="210"/>
      <c r="C1" s="211" t="s">
        <v>87</v>
      </c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177"/>
      <c r="AD1" s="212"/>
      <c r="AE1" s="213"/>
      <c r="AF1" s="214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 t="s">
        <v>0</v>
      </c>
    </row>
    <row r="2" spans="1:51" s="3" customFormat="1" ht="35.25" customHeight="1" x14ac:dyDescent="0.25">
      <c r="A2" s="210"/>
      <c r="B2" s="210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178"/>
      <c r="AD2" s="215"/>
      <c r="AE2" s="216"/>
      <c r="AF2" s="217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/>
    </row>
    <row r="3" spans="1:51" s="3" customFormat="1" ht="6" customHeight="1" x14ac:dyDescent="0.3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</row>
    <row r="4" spans="1:51" s="3" customFormat="1" ht="17.25" customHeight="1" x14ac:dyDescent="0.25">
      <c r="A4" s="8" t="s">
        <v>51</v>
      </c>
      <c r="B4" s="8"/>
      <c r="C4" s="8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51" s="3" customFormat="1" ht="17.25" customHeight="1" x14ac:dyDescent="0.25">
      <c r="A5" s="8" t="s">
        <v>79</v>
      </c>
      <c r="B5" s="8"/>
      <c r="C5" s="8"/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51" s="3" customFormat="1" ht="17.25" customHeight="1" x14ac:dyDescent="0.25">
      <c r="A6" s="8" t="s">
        <v>72</v>
      </c>
      <c r="B6" s="8"/>
      <c r="C6" s="8"/>
      <c r="D6" s="1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51" s="3" customFormat="1" ht="15" customHeight="1" thickBot="1" x14ac:dyDescent="0.3">
      <c r="A7" s="7"/>
      <c r="B7" s="7"/>
      <c r="C7" s="7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51" s="3" customFormat="1" ht="16.5" customHeight="1" thickBot="1" x14ac:dyDescent="0.3">
      <c r="A8" s="219" t="s">
        <v>1</v>
      </c>
      <c r="B8" s="222" t="s">
        <v>52</v>
      </c>
      <c r="C8" s="223"/>
      <c r="D8" s="228" t="s">
        <v>2</v>
      </c>
      <c r="E8" s="231" t="s">
        <v>19</v>
      </c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3"/>
      <c r="AF8" s="233" t="s">
        <v>3</v>
      </c>
    </row>
    <row r="9" spans="1:51" s="3" customFormat="1" ht="13.8" x14ac:dyDescent="0.25">
      <c r="A9" s="220"/>
      <c r="B9" s="224"/>
      <c r="C9" s="225"/>
      <c r="D9" s="229"/>
      <c r="E9" s="236" t="s">
        <v>4</v>
      </c>
      <c r="F9" s="237"/>
      <c r="G9" s="237"/>
      <c r="H9" s="237"/>
      <c r="I9" s="237"/>
      <c r="J9" s="103"/>
      <c r="K9" s="237" t="s">
        <v>5</v>
      </c>
      <c r="L9" s="237"/>
      <c r="M9" s="238"/>
      <c r="N9" s="236" t="s">
        <v>6</v>
      </c>
      <c r="O9" s="239"/>
      <c r="P9" s="240"/>
      <c r="Q9" s="241"/>
      <c r="R9" s="241"/>
      <c r="S9" s="236" t="s">
        <v>7</v>
      </c>
      <c r="T9" s="240"/>
      <c r="U9" s="240"/>
      <c r="V9" s="242"/>
      <c r="W9" s="243" t="s">
        <v>8</v>
      </c>
      <c r="X9" s="237"/>
      <c r="Y9" s="237"/>
      <c r="Z9" s="238"/>
      <c r="AA9" s="236" t="s">
        <v>9</v>
      </c>
      <c r="AB9" s="240"/>
      <c r="AC9" s="241"/>
      <c r="AD9" s="241"/>
      <c r="AE9" s="242"/>
      <c r="AF9" s="234"/>
    </row>
    <row r="10" spans="1:51" s="3" customFormat="1" ht="14.4" thickBot="1" x14ac:dyDescent="0.3">
      <c r="A10" s="221"/>
      <c r="B10" s="226"/>
      <c r="C10" s="227"/>
      <c r="D10" s="230"/>
      <c r="E10" s="66">
        <v>1</v>
      </c>
      <c r="F10" s="41">
        <v>2</v>
      </c>
      <c r="G10" s="41">
        <v>3</v>
      </c>
      <c r="H10" s="20">
        <v>4</v>
      </c>
      <c r="I10" s="20">
        <v>5</v>
      </c>
      <c r="J10" s="104">
        <v>1</v>
      </c>
      <c r="K10" s="41">
        <v>2</v>
      </c>
      <c r="L10" s="19">
        <v>3</v>
      </c>
      <c r="M10" s="67">
        <v>4</v>
      </c>
      <c r="N10" s="66">
        <v>1</v>
      </c>
      <c r="O10" s="19">
        <v>2</v>
      </c>
      <c r="P10" s="41">
        <v>3</v>
      </c>
      <c r="Q10" s="20">
        <v>4</v>
      </c>
      <c r="R10" s="20">
        <v>5</v>
      </c>
      <c r="S10" s="66">
        <v>1</v>
      </c>
      <c r="T10" s="41">
        <v>2</v>
      </c>
      <c r="U10" s="41">
        <v>3</v>
      </c>
      <c r="V10" s="67">
        <v>4</v>
      </c>
      <c r="W10" s="66">
        <v>1</v>
      </c>
      <c r="X10" s="41">
        <v>2</v>
      </c>
      <c r="Y10" s="41">
        <v>3</v>
      </c>
      <c r="Z10" s="67">
        <v>4</v>
      </c>
      <c r="AA10" s="66">
        <v>1</v>
      </c>
      <c r="AB10" s="41">
        <v>2</v>
      </c>
      <c r="AC10" s="20">
        <v>3</v>
      </c>
      <c r="AD10" s="20">
        <v>4</v>
      </c>
      <c r="AE10" s="67">
        <v>5</v>
      </c>
      <c r="AF10" s="235"/>
    </row>
    <row r="11" spans="1:51" s="3" customFormat="1" ht="45.75" customHeight="1" thickTop="1" x14ac:dyDescent="0.25">
      <c r="A11" s="86">
        <v>1</v>
      </c>
      <c r="B11" s="80">
        <f>ATP!B14</f>
        <v>0</v>
      </c>
      <c r="C11" s="44">
        <f>ATP!C14</f>
        <v>0</v>
      </c>
      <c r="D11" s="61">
        <f>ATP!D14</f>
        <v>0</v>
      </c>
      <c r="E11" s="252" t="s">
        <v>40</v>
      </c>
      <c r="F11" s="252" t="s">
        <v>40</v>
      </c>
      <c r="G11" s="247" t="s">
        <v>83</v>
      </c>
      <c r="H11" s="22"/>
      <c r="I11" s="22"/>
      <c r="J11" s="107"/>
      <c r="K11" s="21"/>
      <c r="L11" s="21"/>
      <c r="M11" s="23"/>
      <c r="N11" s="25"/>
      <c r="O11" s="190"/>
      <c r="P11" s="24"/>
      <c r="Q11" s="344"/>
      <c r="R11" s="10"/>
      <c r="S11" s="25"/>
      <c r="T11" s="24"/>
      <c r="U11" s="24"/>
      <c r="V11" s="23"/>
      <c r="W11" s="193"/>
      <c r="X11" s="24"/>
      <c r="Y11" s="24"/>
      <c r="Z11" s="23"/>
      <c r="AA11" s="254" t="s">
        <v>92</v>
      </c>
      <c r="AB11" s="256" t="s">
        <v>53</v>
      </c>
      <c r="AC11" s="250" t="s">
        <v>39</v>
      </c>
      <c r="AD11" s="244" t="s">
        <v>40</v>
      </c>
      <c r="AE11" s="244" t="s">
        <v>40</v>
      </c>
      <c r="AF11" s="100"/>
      <c r="AH11" s="3" t="s">
        <v>76</v>
      </c>
    </row>
    <row r="12" spans="1:51" s="3" customFormat="1" ht="45" customHeight="1" x14ac:dyDescent="0.25">
      <c r="A12" s="87">
        <v>2</v>
      </c>
      <c r="B12" s="81">
        <f>ATP!B15</f>
        <v>0</v>
      </c>
      <c r="C12" s="82">
        <f>ATP!C15</f>
        <v>0</v>
      </c>
      <c r="D12" s="62">
        <f>ATP!D15</f>
        <v>0</v>
      </c>
      <c r="E12" s="252"/>
      <c r="F12" s="252"/>
      <c r="G12" s="248"/>
      <c r="H12" s="12"/>
      <c r="I12" s="12"/>
      <c r="J12" s="27"/>
      <c r="K12" s="13"/>
      <c r="L12" s="13"/>
      <c r="M12" s="106"/>
      <c r="N12" s="27"/>
      <c r="O12" s="191"/>
      <c r="P12" s="13"/>
      <c r="Q12" s="345"/>
      <c r="R12" s="208"/>
      <c r="S12" s="29"/>
      <c r="T12" s="13"/>
      <c r="U12" s="13"/>
      <c r="V12" s="26"/>
      <c r="W12" s="194"/>
      <c r="X12" s="13"/>
      <c r="Y12" s="13"/>
      <c r="Z12" s="26"/>
      <c r="AA12" s="254"/>
      <c r="AB12" s="257"/>
      <c r="AC12" s="250"/>
      <c r="AD12" s="245"/>
      <c r="AE12" s="245"/>
      <c r="AF12" s="101"/>
      <c r="AH12" s="186" t="s">
        <v>77</v>
      </c>
    </row>
    <row r="13" spans="1:51" s="3" customFormat="1" ht="30" customHeight="1" x14ac:dyDescent="0.25">
      <c r="A13" s="86">
        <v>3</v>
      </c>
      <c r="B13" s="80">
        <f>ATP!B16</f>
        <v>0</v>
      </c>
      <c r="C13" s="44">
        <f>ATP!C16</f>
        <v>0</v>
      </c>
      <c r="D13" s="61">
        <f>ATP!D16</f>
        <v>0</v>
      </c>
      <c r="E13" s="252"/>
      <c r="F13" s="252"/>
      <c r="G13" s="248"/>
      <c r="H13" s="28"/>
      <c r="I13" s="28"/>
      <c r="J13" s="27"/>
      <c r="K13" s="14"/>
      <c r="L13" s="14"/>
      <c r="M13" s="26"/>
      <c r="N13" s="29"/>
      <c r="O13" s="191"/>
      <c r="P13" s="13"/>
      <c r="Q13" s="345"/>
      <c r="R13" s="208"/>
      <c r="S13" s="29"/>
      <c r="T13" s="13"/>
      <c r="U13" s="13"/>
      <c r="V13" s="26"/>
      <c r="W13" s="194"/>
      <c r="X13" s="13"/>
      <c r="Y13" s="13"/>
      <c r="Z13" s="26"/>
      <c r="AA13" s="254"/>
      <c r="AB13" s="257"/>
      <c r="AC13" s="250"/>
      <c r="AD13" s="245"/>
      <c r="AE13" s="245"/>
      <c r="AF13" s="101"/>
    </row>
    <row r="14" spans="1:51" s="3" customFormat="1" ht="45.75" customHeight="1" x14ac:dyDescent="0.25">
      <c r="A14" s="87">
        <v>4</v>
      </c>
      <c r="B14" s="81">
        <f>ATP!B17</f>
        <v>0</v>
      </c>
      <c r="C14" s="82">
        <f>ATP!C17</f>
        <v>0</v>
      </c>
      <c r="D14" s="62">
        <f>ATP!D17</f>
        <v>0</v>
      </c>
      <c r="E14" s="252"/>
      <c r="F14" s="252"/>
      <c r="G14" s="248"/>
      <c r="H14" s="28"/>
      <c r="I14" s="28"/>
      <c r="J14" s="27"/>
      <c r="K14" s="14"/>
      <c r="L14" s="14"/>
      <c r="M14" s="26"/>
      <c r="N14" s="29"/>
      <c r="O14" s="191"/>
      <c r="P14" s="13"/>
      <c r="Q14" s="345"/>
      <c r="R14" s="208"/>
      <c r="S14" s="29"/>
      <c r="T14" s="13"/>
      <c r="U14" s="13"/>
      <c r="V14" s="26"/>
      <c r="W14" s="194"/>
      <c r="X14" s="13"/>
      <c r="Y14" s="13"/>
      <c r="Z14" s="26"/>
      <c r="AA14" s="254"/>
      <c r="AB14" s="257"/>
      <c r="AC14" s="250"/>
      <c r="AD14" s="245"/>
      <c r="AE14" s="245"/>
      <c r="AF14" s="101"/>
    </row>
    <row r="15" spans="1:51" s="3" customFormat="1" ht="44.25" customHeight="1" x14ac:dyDescent="0.25">
      <c r="A15" s="88">
        <v>5</v>
      </c>
      <c r="B15" s="83">
        <f>ATP!B18</f>
        <v>0</v>
      </c>
      <c r="C15" s="84">
        <f>ATP!C18</f>
        <v>0</v>
      </c>
      <c r="D15" s="62">
        <f>ATP!D18</f>
        <v>0</v>
      </c>
      <c r="E15" s="252"/>
      <c r="F15" s="252"/>
      <c r="G15" s="248"/>
      <c r="H15" s="28"/>
      <c r="I15" s="28"/>
      <c r="J15" s="27"/>
      <c r="K15" s="14"/>
      <c r="L15" s="14"/>
      <c r="M15" s="26"/>
      <c r="N15" s="29"/>
      <c r="O15" s="191"/>
      <c r="P15" s="13"/>
      <c r="Q15" s="345"/>
      <c r="R15" s="208"/>
      <c r="S15" s="29"/>
      <c r="T15" s="13"/>
      <c r="U15" s="13"/>
      <c r="V15" s="26"/>
      <c r="W15" s="194"/>
      <c r="X15" s="13"/>
      <c r="Y15" s="13"/>
      <c r="Z15" s="26"/>
      <c r="AA15" s="254"/>
      <c r="AB15" s="257"/>
      <c r="AC15" s="250"/>
      <c r="AD15" s="245"/>
      <c r="AE15" s="245"/>
      <c r="AF15" s="101"/>
    </row>
    <row r="16" spans="1:51" s="3" customFormat="1" ht="45" customHeight="1" thickBot="1" x14ac:dyDescent="0.3">
      <c r="A16" s="128">
        <v>6</v>
      </c>
      <c r="B16" s="129">
        <f>ATP!B19</f>
        <v>0</v>
      </c>
      <c r="C16" s="85">
        <f>ATP!C19</f>
        <v>0</v>
      </c>
      <c r="D16" s="130">
        <f>ATP!D19</f>
        <v>0</v>
      </c>
      <c r="E16" s="253"/>
      <c r="F16" s="253"/>
      <c r="G16" s="249"/>
      <c r="H16" s="131"/>
      <c r="I16" s="131"/>
      <c r="J16" s="108"/>
      <c r="K16" s="30"/>
      <c r="L16" s="30"/>
      <c r="M16" s="31"/>
      <c r="N16" s="33"/>
      <c r="O16" s="192"/>
      <c r="P16" s="32"/>
      <c r="Q16" s="346"/>
      <c r="R16" s="132"/>
      <c r="S16" s="33"/>
      <c r="T16" s="32"/>
      <c r="U16" s="32"/>
      <c r="V16" s="31"/>
      <c r="W16" s="195"/>
      <c r="X16" s="32"/>
      <c r="Y16" s="32"/>
      <c r="Z16" s="31"/>
      <c r="AA16" s="255"/>
      <c r="AB16" s="258"/>
      <c r="AC16" s="251"/>
      <c r="AD16" s="246"/>
      <c r="AE16" s="246"/>
      <c r="AF16" s="102"/>
    </row>
    <row r="17" spans="1:32" s="3" customFormat="1" ht="21.75" customHeight="1" x14ac:dyDescent="0.25">
      <c r="A17" s="8"/>
      <c r="B17" s="8"/>
      <c r="C17" s="8"/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8"/>
    </row>
    <row r="18" spans="1:32" ht="13.8" x14ac:dyDescent="0.25">
      <c r="A18" s="8"/>
      <c r="B18" s="8"/>
      <c r="C18" s="8" t="s">
        <v>10</v>
      </c>
      <c r="D18" s="15"/>
      <c r="E18" s="16"/>
      <c r="F18" s="16"/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 t="str">
        <f>'Alokasi Waktu X'!H29</f>
        <v>Jakarta, 10 Juli 2026</v>
      </c>
      <c r="Y18" s="10"/>
      <c r="Z18" s="10"/>
      <c r="AA18" s="10"/>
      <c r="AB18" s="10"/>
      <c r="AC18" s="10"/>
      <c r="AD18" s="10"/>
      <c r="AE18" s="10"/>
      <c r="AF18" s="8"/>
    </row>
    <row r="19" spans="1:32" ht="13.8" x14ac:dyDescent="0.25">
      <c r="A19" s="8"/>
      <c r="B19" s="8"/>
      <c r="C19" s="8" t="s">
        <v>11</v>
      </c>
      <c r="D19" s="15"/>
      <c r="E19" s="16"/>
      <c r="F19" s="16"/>
      <c r="G19" s="8"/>
      <c r="H19" s="8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 t="str">
        <f>'Alokasi Waktu X'!H30</f>
        <v>Guru Mata Pelajaran …...,</v>
      </c>
      <c r="Y19" s="10"/>
      <c r="Z19" s="10"/>
      <c r="AA19" s="10"/>
      <c r="AB19" s="10"/>
      <c r="AC19" s="10"/>
      <c r="AD19" s="10"/>
      <c r="AE19" s="10"/>
      <c r="AF19" s="8"/>
    </row>
    <row r="20" spans="1:32" ht="13.8" x14ac:dyDescent="0.25">
      <c r="A20" s="8"/>
      <c r="B20" s="8"/>
      <c r="C20" s="17"/>
      <c r="D20" s="15"/>
      <c r="E20" s="8"/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8"/>
    </row>
    <row r="21" spans="1:32" ht="13.8" x14ac:dyDescent="0.25">
      <c r="A21" s="8"/>
      <c r="B21" s="8"/>
      <c r="C21" s="17"/>
      <c r="D21" s="15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8"/>
    </row>
    <row r="22" spans="1:32" ht="13.8" x14ac:dyDescent="0.25">
      <c r="A22" s="8"/>
      <c r="B22" s="8"/>
      <c r="C22" s="17" t="str">
        <f>'Alokasi Waktu X'!A33</f>
        <v>H. Marjuki Miad, M.Pd</v>
      </c>
      <c r="D22" s="15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 t="str">
        <f>'Alokasi Waktu X'!H33</f>
        <v>…..............</v>
      </c>
      <c r="Y22" s="10"/>
      <c r="Z22" s="10"/>
      <c r="AA22" s="10"/>
      <c r="AB22" s="10"/>
      <c r="AC22" s="10"/>
      <c r="AD22" s="10"/>
      <c r="AE22" s="10"/>
      <c r="AF22" s="8"/>
    </row>
    <row r="23" spans="1:32" ht="13.8" x14ac:dyDescent="0.25">
      <c r="A23" s="8"/>
      <c r="B23" s="8"/>
      <c r="C23" s="8" t="str">
        <f>'Alokasi Waktu X'!A34</f>
        <v>NIP 196705141991011001</v>
      </c>
      <c r="D23" s="15"/>
      <c r="E23" s="8"/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8" t="str">
        <f>'Alokasi Waktu X'!H34</f>
        <v>NIP/NIKKI ….......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8"/>
    </row>
  </sheetData>
  <mergeCells count="23">
    <mergeCell ref="AD11:AD16"/>
    <mergeCell ref="AE11:AE16"/>
    <mergeCell ref="G11:G16"/>
    <mergeCell ref="AC11:AC16"/>
    <mergeCell ref="E11:E16"/>
    <mergeCell ref="F11:F16"/>
    <mergeCell ref="AA11:AA16"/>
    <mergeCell ref="AB11:AB16"/>
    <mergeCell ref="A1:B2"/>
    <mergeCell ref="C1:AB2"/>
    <mergeCell ref="AD1:AF2"/>
    <mergeCell ref="A3:AF3"/>
    <mergeCell ref="A8:A10"/>
    <mergeCell ref="B8:C10"/>
    <mergeCell ref="D8:D10"/>
    <mergeCell ref="E8:AE8"/>
    <mergeCell ref="AF8:AF10"/>
    <mergeCell ref="E9:I9"/>
    <mergeCell ref="K9:M9"/>
    <mergeCell ref="N9:R9"/>
    <mergeCell ref="S9:V9"/>
    <mergeCell ref="W9:Z9"/>
    <mergeCell ref="AA9:AE9"/>
  </mergeCells>
  <pageMargins left="0.31496062992125984" right="7.874015748031496E-2" top="0.39370078740157483" bottom="0.15748031496062992" header="0.35433070866141736" footer="0.19685039370078741"/>
  <pageSetup paperSize="9" scale="82" orientation="landscape" horizontalDpi="200" verticalDpi="200" r:id="rId1"/>
  <headerFooter alignWithMargins="0"/>
  <colBreaks count="1" manualBreakCount="1">
    <brk id="32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3"/>
  <sheetViews>
    <sheetView view="pageBreakPreview" topLeftCell="A4" zoomScaleSheetLayoutView="100" workbookViewId="0">
      <selection activeCell="AA22" sqref="AA22"/>
    </sheetView>
  </sheetViews>
  <sheetFormatPr defaultRowHeight="13.2" x14ac:dyDescent="0.25"/>
  <cols>
    <col min="1" max="1" width="3.6640625" customWidth="1"/>
    <col min="2" max="2" width="8.44140625" customWidth="1"/>
    <col min="3" max="3" width="77.33203125" customWidth="1"/>
    <col min="4" max="4" width="11.109375" style="4" customWidth="1"/>
    <col min="5" max="16" width="3.6640625" customWidth="1"/>
    <col min="17" max="17" width="3.5546875" customWidth="1"/>
    <col min="18" max="18" width="4.21875" customWidth="1"/>
    <col min="19" max="25" width="3.6640625" customWidth="1"/>
    <col min="26" max="30" width="3.44140625" customWidth="1"/>
    <col min="31" max="31" width="4.6640625" customWidth="1"/>
  </cols>
  <sheetData>
    <row r="1" spans="1:50" s="3" customFormat="1" ht="25.5" customHeight="1" x14ac:dyDescent="0.25">
      <c r="A1" s="209"/>
      <c r="B1" s="210"/>
      <c r="C1" s="211" t="s">
        <v>85</v>
      </c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2"/>
      <c r="AC1" s="213"/>
      <c r="AD1" s="213"/>
      <c r="AE1" s="214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 t="s">
        <v>0</v>
      </c>
    </row>
    <row r="2" spans="1:50" s="3" customFormat="1" ht="28.5" customHeight="1" x14ac:dyDescent="0.25">
      <c r="A2" s="210"/>
      <c r="B2" s="210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5"/>
      <c r="AC2" s="216"/>
      <c r="AD2" s="216"/>
      <c r="AE2" s="217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</row>
    <row r="3" spans="1:50" s="3" customFormat="1" ht="6" customHeight="1" x14ac:dyDescent="0.3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</row>
    <row r="4" spans="1:50" s="3" customFormat="1" ht="17.25" customHeight="1" x14ac:dyDescent="0.25">
      <c r="A4" s="8" t="s">
        <v>51</v>
      </c>
      <c r="B4" s="8"/>
      <c r="C4" s="7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50" s="3" customFormat="1" ht="17.25" customHeight="1" x14ac:dyDescent="0.25">
      <c r="A5" s="8" t="s">
        <v>79</v>
      </c>
      <c r="B5" s="8"/>
      <c r="C5" s="7"/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50" s="3" customFormat="1" ht="17.25" customHeight="1" x14ac:dyDescent="0.25">
      <c r="A6" s="8" t="s">
        <v>72</v>
      </c>
      <c r="B6" s="8"/>
      <c r="C6" s="7"/>
      <c r="D6" s="1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50" s="3" customFormat="1" ht="13.5" customHeight="1" thickBot="1" x14ac:dyDescent="0.3">
      <c r="A7" s="7"/>
      <c r="B7" s="7"/>
      <c r="C7" s="7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50" s="3" customFormat="1" ht="16.5" customHeight="1" thickBot="1" x14ac:dyDescent="0.3">
      <c r="A8" s="243" t="s">
        <v>1</v>
      </c>
      <c r="B8" s="236" t="s">
        <v>52</v>
      </c>
      <c r="C8" s="242"/>
      <c r="D8" s="228" t="s">
        <v>2</v>
      </c>
      <c r="E8" s="231" t="s">
        <v>19</v>
      </c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88" t="s">
        <v>3</v>
      </c>
    </row>
    <row r="9" spans="1:50" s="3" customFormat="1" ht="13.8" x14ac:dyDescent="0.25">
      <c r="A9" s="282"/>
      <c r="B9" s="284"/>
      <c r="C9" s="285"/>
      <c r="D9" s="229"/>
      <c r="E9" s="243" t="s">
        <v>12</v>
      </c>
      <c r="F9" s="237"/>
      <c r="G9" s="237"/>
      <c r="H9" s="238"/>
      <c r="I9" s="237" t="s">
        <v>13</v>
      </c>
      <c r="J9" s="237"/>
      <c r="K9" s="237"/>
      <c r="L9" s="237"/>
      <c r="M9" s="236" t="s">
        <v>14</v>
      </c>
      <c r="N9" s="240"/>
      <c r="O9" s="240"/>
      <c r="P9" s="241"/>
      <c r="Q9" s="242"/>
      <c r="R9" s="239" t="s">
        <v>15</v>
      </c>
      <c r="S9" s="240"/>
      <c r="T9" s="241"/>
      <c r="U9" s="242"/>
      <c r="V9" s="243" t="s">
        <v>16</v>
      </c>
      <c r="W9" s="237"/>
      <c r="X9" s="237"/>
      <c r="Y9" s="237"/>
      <c r="Z9" s="236" t="s">
        <v>17</v>
      </c>
      <c r="AA9" s="240"/>
      <c r="AB9" s="240"/>
      <c r="AC9" s="241"/>
      <c r="AD9" s="242"/>
      <c r="AE9" s="289"/>
    </row>
    <row r="10" spans="1:50" s="3" customFormat="1" ht="14.4" thickBot="1" x14ac:dyDescent="0.3">
      <c r="A10" s="283"/>
      <c r="B10" s="286"/>
      <c r="C10" s="287"/>
      <c r="D10" s="230"/>
      <c r="E10" s="66">
        <v>1</v>
      </c>
      <c r="F10" s="41">
        <v>2</v>
      </c>
      <c r="G10" s="41">
        <v>3</v>
      </c>
      <c r="H10" s="67">
        <v>4</v>
      </c>
      <c r="I10" s="19">
        <v>1</v>
      </c>
      <c r="J10" s="41">
        <v>2</v>
      </c>
      <c r="K10" s="41">
        <v>3</v>
      </c>
      <c r="L10" s="67">
        <v>4</v>
      </c>
      <c r="M10" s="133">
        <v>1</v>
      </c>
      <c r="N10" s="134">
        <v>2</v>
      </c>
      <c r="O10" s="134">
        <v>3</v>
      </c>
      <c r="P10" s="204">
        <v>4</v>
      </c>
      <c r="Q10" s="135">
        <v>5</v>
      </c>
      <c r="R10" s="133">
        <v>1</v>
      </c>
      <c r="S10" s="41">
        <v>2</v>
      </c>
      <c r="T10" s="20">
        <v>3</v>
      </c>
      <c r="U10" s="67">
        <v>4</v>
      </c>
      <c r="V10" s="66">
        <v>1</v>
      </c>
      <c r="W10" s="41">
        <v>2</v>
      </c>
      <c r="X10" s="41">
        <v>3</v>
      </c>
      <c r="Y10" s="20">
        <v>4</v>
      </c>
      <c r="Z10" s="66">
        <v>1</v>
      </c>
      <c r="AA10" s="41">
        <v>2</v>
      </c>
      <c r="AB10" s="41">
        <v>3</v>
      </c>
      <c r="AC10" s="20">
        <v>4</v>
      </c>
      <c r="AD10" s="67">
        <v>5</v>
      </c>
      <c r="AE10" s="290"/>
    </row>
    <row r="11" spans="1:50" s="3" customFormat="1" ht="29.4" customHeight="1" thickTop="1" x14ac:dyDescent="0.25">
      <c r="A11" s="65"/>
      <c r="B11" s="89">
        <f>ATP!B21</f>
        <v>0</v>
      </c>
      <c r="C11" s="184">
        <f>ATP!C21</f>
        <v>0</v>
      </c>
      <c r="D11" s="64">
        <f>ATP!D21</f>
        <v>0</v>
      </c>
      <c r="E11" s="107"/>
      <c r="F11" s="21"/>
      <c r="G11" s="21"/>
      <c r="H11" s="181"/>
      <c r="I11" s="179"/>
      <c r="J11" s="291" t="s">
        <v>54</v>
      </c>
      <c r="K11" s="193"/>
      <c r="L11" s="181"/>
      <c r="M11" s="187"/>
      <c r="N11" s="279" t="s">
        <v>55</v>
      </c>
      <c r="O11" s="279" t="s">
        <v>55</v>
      </c>
      <c r="P11" s="205"/>
      <c r="Q11" s="200"/>
      <c r="R11" s="201"/>
      <c r="S11" s="344"/>
      <c r="T11" s="34"/>
      <c r="U11" s="23"/>
      <c r="V11" s="25"/>
      <c r="W11" s="111"/>
      <c r="X11" s="111"/>
      <c r="Y11" s="34"/>
      <c r="Z11" s="297" t="s">
        <v>91</v>
      </c>
      <c r="AA11" s="299" t="s">
        <v>93</v>
      </c>
      <c r="AB11" s="299" t="s">
        <v>93</v>
      </c>
      <c r="AC11" s="294" t="s">
        <v>39</v>
      </c>
      <c r="AD11" s="244" t="s">
        <v>40</v>
      </c>
      <c r="AE11" s="63"/>
      <c r="AF11" s="3" t="s">
        <v>76</v>
      </c>
    </row>
    <row r="12" spans="1:50" s="3" customFormat="1" ht="30" customHeight="1" x14ac:dyDescent="0.25">
      <c r="A12" s="65"/>
      <c r="B12" s="89">
        <f>ATP!B22</f>
        <v>0</v>
      </c>
      <c r="C12" s="184">
        <f>ATP!C22</f>
        <v>0</v>
      </c>
      <c r="D12" s="64">
        <f>ATP!D22</f>
        <v>0</v>
      </c>
      <c r="E12" s="107"/>
      <c r="F12" s="21"/>
      <c r="G12" s="21"/>
      <c r="H12" s="181"/>
      <c r="I12" s="179"/>
      <c r="J12" s="292"/>
      <c r="K12" s="194"/>
      <c r="L12" s="181"/>
      <c r="M12" s="188"/>
      <c r="N12" s="280"/>
      <c r="O12" s="280"/>
      <c r="P12" s="206"/>
      <c r="Q12" s="109"/>
      <c r="R12" s="202"/>
      <c r="S12" s="345"/>
      <c r="T12" s="34"/>
      <c r="U12" s="23"/>
      <c r="V12" s="25"/>
      <c r="W12" s="109"/>
      <c r="X12" s="109"/>
      <c r="Y12" s="34"/>
      <c r="Z12" s="297"/>
      <c r="AA12" s="299"/>
      <c r="AB12" s="299"/>
      <c r="AC12" s="295"/>
      <c r="AD12" s="245"/>
      <c r="AE12" s="63"/>
      <c r="AF12" s="186" t="s">
        <v>77</v>
      </c>
    </row>
    <row r="13" spans="1:50" s="3" customFormat="1" ht="30" customHeight="1" x14ac:dyDescent="0.25">
      <c r="A13" s="65"/>
      <c r="B13" s="89">
        <f>ATP!B23</f>
        <v>0</v>
      </c>
      <c r="C13" s="184">
        <f>ATP!C23</f>
        <v>0</v>
      </c>
      <c r="D13" s="64">
        <f>ATP!D23</f>
        <v>0</v>
      </c>
      <c r="E13" s="107"/>
      <c r="F13" s="21"/>
      <c r="G13" s="21"/>
      <c r="H13" s="181"/>
      <c r="I13" s="179"/>
      <c r="J13" s="292"/>
      <c r="K13" s="194"/>
      <c r="L13" s="181"/>
      <c r="M13" s="188"/>
      <c r="N13" s="280"/>
      <c r="O13" s="280"/>
      <c r="P13" s="206"/>
      <c r="Q13" s="109"/>
      <c r="R13" s="202"/>
      <c r="S13" s="345"/>
      <c r="T13" s="34"/>
      <c r="U13" s="23"/>
      <c r="V13" s="25"/>
      <c r="W13" s="109"/>
      <c r="X13" s="109"/>
      <c r="Y13" s="34"/>
      <c r="Z13" s="297"/>
      <c r="AA13" s="299"/>
      <c r="AB13" s="299"/>
      <c r="AC13" s="295"/>
      <c r="AD13" s="245"/>
      <c r="AE13" s="63"/>
    </row>
    <row r="14" spans="1:50" s="3" customFormat="1" ht="29.25" customHeight="1" x14ac:dyDescent="0.25">
      <c r="A14" s="65"/>
      <c r="B14" s="89">
        <f>ATP!B24</f>
        <v>0</v>
      </c>
      <c r="C14" s="184">
        <f>ATP!C24</f>
        <v>0</v>
      </c>
      <c r="D14" s="64">
        <f>ATP!D24</f>
        <v>0</v>
      </c>
      <c r="E14" s="107"/>
      <c r="F14" s="21"/>
      <c r="G14" s="21"/>
      <c r="H14" s="181"/>
      <c r="I14" s="179"/>
      <c r="J14" s="292"/>
      <c r="K14" s="194"/>
      <c r="L14" s="181"/>
      <c r="M14" s="188"/>
      <c r="N14" s="280"/>
      <c r="O14" s="280"/>
      <c r="P14" s="206"/>
      <c r="Q14" s="109"/>
      <c r="R14" s="202"/>
      <c r="S14" s="345"/>
      <c r="T14" s="34"/>
      <c r="U14" s="23"/>
      <c r="V14" s="25"/>
      <c r="W14" s="109"/>
      <c r="X14" s="109"/>
      <c r="Y14" s="34"/>
      <c r="Z14" s="297"/>
      <c r="AA14" s="299"/>
      <c r="AB14" s="299"/>
      <c r="AC14" s="295"/>
      <c r="AD14" s="245"/>
      <c r="AE14" s="63"/>
    </row>
    <row r="15" spans="1:50" s="3" customFormat="1" ht="29.25" customHeight="1" x14ac:dyDescent="0.25">
      <c r="A15" s="65"/>
      <c r="B15" s="89">
        <f>ATP!B25</f>
        <v>0</v>
      </c>
      <c r="C15" s="184">
        <f>ATP!C25</f>
        <v>0</v>
      </c>
      <c r="D15" s="64">
        <f>ATP!D25</f>
        <v>0</v>
      </c>
      <c r="E15" s="107"/>
      <c r="F15" s="21"/>
      <c r="G15" s="21"/>
      <c r="H15" s="181"/>
      <c r="I15" s="179"/>
      <c r="J15" s="292"/>
      <c r="K15" s="194"/>
      <c r="L15" s="181"/>
      <c r="M15" s="188"/>
      <c r="N15" s="280"/>
      <c r="O15" s="280"/>
      <c r="P15" s="206"/>
      <c r="Q15" s="109"/>
      <c r="R15" s="202"/>
      <c r="S15" s="345"/>
      <c r="T15" s="34"/>
      <c r="U15" s="23"/>
      <c r="V15" s="25"/>
      <c r="W15" s="109"/>
      <c r="X15" s="109"/>
      <c r="Y15" s="34"/>
      <c r="Z15" s="297"/>
      <c r="AA15" s="299"/>
      <c r="AB15" s="299"/>
      <c r="AC15" s="295"/>
      <c r="AD15" s="245"/>
      <c r="AE15" s="63"/>
    </row>
    <row r="16" spans="1:50" s="3" customFormat="1" ht="30" customHeight="1" thickBot="1" x14ac:dyDescent="0.3">
      <c r="A16" s="90"/>
      <c r="B16" s="91">
        <f>ATP!B26</f>
        <v>0</v>
      </c>
      <c r="C16" s="185">
        <f>ATP!C26</f>
        <v>0</v>
      </c>
      <c r="D16" s="92">
        <f>ATP!D26</f>
        <v>0</v>
      </c>
      <c r="E16" s="183"/>
      <c r="F16" s="93"/>
      <c r="G16" s="93"/>
      <c r="H16" s="182"/>
      <c r="I16" s="180"/>
      <c r="J16" s="293"/>
      <c r="K16" s="195"/>
      <c r="L16" s="182"/>
      <c r="M16" s="189"/>
      <c r="N16" s="281"/>
      <c r="O16" s="281"/>
      <c r="P16" s="207"/>
      <c r="Q16" s="110"/>
      <c r="R16" s="203"/>
      <c r="S16" s="346"/>
      <c r="T16" s="95"/>
      <c r="U16" s="94"/>
      <c r="V16" s="96"/>
      <c r="W16" s="110"/>
      <c r="X16" s="110"/>
      <c r="Y16" s="95"/>
      <c r="Z16" s="298"/>
      <c r="AA16" s="300"/>
      <c r="AB16" s="300"/>
      <c r="AC16" s="296"/>
      <c r="AD16" s="246"/>
      <c r="AE16" s="97"/>
    </row>
    <row r="17" spans="1:31" s="3" customFormat="1" ht="5.25" customHeight="1" x14ac:dyDescent="0.25">
      <c r="A17" s="8"/>
      <c r="B17" s="8"/>
      <c r="C17" s="8"/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8"/>
    </row>
    <row r="18" spans="1:31" ht="13.8" x14ac:dyDescent="0.25">
      <c r="A18" s="8"/>
      <c r="B18" s="8"/>
      <c r="C18" s="8" t="s">
        <v>10</v>
      </c>
      <c r="D18" s="15"/>
      <c r="E18" s="16"/>
      <c r="F18" s="16"/>
      <c r="G18" s="8"/>
      <c r="H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 t="str">
        <f>'Alokasi Waktu X'!H29</f>
        <v>Jakarta, 10 Juli 2026</v>
      </c>
      <c r="X18" s="10"/>
      <c r="Y18" s="10"/>
      <c r="Z18" s="10"/>
      <c r="AA18" s="10"/>
      <c r="AB18" s="10"/>
      <c r="AC18" s="10"/>
      <c r="AD18" s="10"/>
      <c r="AE18" s="8"/>
    </row>
    <row r="19" spans="1:31" ht="13.8" x14ac:dyDescent="0.25">
      <c r="A19" s="8"/>
      <c r="B19" s="8"/>
      <c r="C19" s="8" t="s">
        <v>18</v>
      </c>
      <c r="D19" s="15"/>
      <c r="E19" s="16"/>
      <c r="F19" s="16"/>
      <c r="G19" s="8"/>
      <c r="H19" s="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 t="str">
        <f>'Alokasi Waktu X'!H30</f>
        <v>Guru Mata Pelajaran …...,</v>
      </c>
      <c r="X19" s="10"/>
      <c r="Y19" s="10"/>
      <c r="Z19" s="10"/>
      <c r="AA19" s="10"/>
      <c r="AB19" s="10"/>
      <c r="AC19" s="10"/>
      <c r="AD19" s="10"/>
      <c r="AE19" s="8"/>
    </row>
    <row r="20" spans="1:31" ht="13.8" x14ac:dyDescent="0.25">
      <c r="A20" s="8"/>
      <c r="B20" s="8"/>
      <c r="C20" s="17"/>
      <c r="D20" s="15"/>
      <c r="E20" s="8"/>
      <c r="F20" s="8"/>
      <c r="G20" s="8"/>
      <c r="H20" s="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8"/>
    </row>
    <row r="21" spans="1:31" ht="13.8" x14ac:dyDescent="0.25">
      <c r="A21" s="8"/>
      <c r="B21" s="8"/>
      <c r="C21" s="17"/>
      <c r="D21" s="15"/>
      <c r="E21" s="8"/>
      <c r="F21" s="8"/>
      <c r="G21" s="8"/>
      <c r="H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8"/>
    </row>
    <row r="22" spans="1:31" ht="13.8" x14ac:dyDescent="0.25">
      <c r="A22" s="8"/>
      <c r="B22" s="8"/>
      <c r="C22" s="17" t="str">
        <f>'Alokasi Waktu X'!A33</f>
        <v>H. Marjuki Miad, M.Pd</v>
      </c>
      <c r="D22" s="15"/>
      <c r="E22" s="8"/>
      <c r="F22" s="8"/>
      <c r="G22" s="8"/>
      <c r="H22" s="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 t="str">
        <f>'Alokasi Waktu X'!H33</f>
        <v>…..............</v>
      </c>
      <c r="X22" s="10"/>
      <c r="Y22" s="10"/>
      <c r="Z22" s="10"/>
      <c r="AA22" s="10"/>
      <c r="AB22" s="10"/>
      <c r="AC22" s="10"/>
      <c r="AD22" s="10"/>
      <c r="AE22" s="8"/>
    </row>
    <row r="23" spans="1:31" ht="13.8" x14ac:dyDescent="0.25">
      <c r="A23" s="8"/>
      <c r="B23" s="8"/>
      <c r="C23" s="8" t="str">
        <f>'Alokasi Waktu X'!A34</f>
        <v>NIP 196705141991011001</v>
      </c>
      <c r="D23" s="15"/>
      <c r="E23" s="8"/>
      <c r="F23" s="8"/>
      <c r="G23" s="8"/>
      <c r="H23" s="8"/>
      <c r="I23" s="10"/>
      <c r="J23" s="10"/>
      <c r="K23" s="10"/>
      <c r="L23" s="10"/>
      <c r="M23" s="10"/>
      <c r="N23" s="10"/>
      <c r="O23" s="10"/>
      <c r="P23" s="10"/>
      <c r="Q23" s="10"/>
      <c r="R23" s="10"/>
      <c r="T23" s="18" t="str">
        <f>'Alokasi Waktu X'!H34</f>
        <v>NIP/NIKKI ….......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8"/>
    </row>
  </sheetData>
  <mergeCells count="23">
    <mergeCell ref="V9:Y9"/>
    <mergeCell ref="J11:J16"/>
    <mergeCell ref="N11:N16"/>
    <mergeCell ref="AC11:AC16"/>
    <mergeCell ref="AA11:AA16"/>
    <mergeCell ref="AB11:AB16"/>
    <mergeCell ref="Z11:Z16"/>
    <mergeCell ref="AD11:AD16"/>
    <mergeCell ref="O11:O16"/>
    <mergeCell ref="A1:B2"/>
    <mergeCell ref="C1:AA2"/>
    <mergeCell ref="AB1:AE2"/>
    <mergeCell ref="A3:AE3"/>
    <mergeCell ref="A8:A10"/>
    <mergeCell ref="B8:C10"/>
    <mergeCell ref="D8:D10"/>
    <mergeCell ref="E8:AD8"/>
    <mergeCell ref="AE8:AE10"/>
    <mergeCell ref="I9:L9"/>
    <mergeCell ref="E9:H9"/>
    <mergeCell ref="M9:Q9"/>
    <mergeCell ref="R9:U9"/>
    <mergeCell ref="Z9:AD9"/>
  </mergeCells>
  <pageMargins left="0.6692913385826772" right="0.23622047244094491" top="0.74803149606299213" bottom="0.74803149606299213" header="0.31496062992125984" footer="0.31496062992125984"/>
  <pageSetup paperSize="9" scale="65" orientation="landscape" horizontalDpi="200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view="pageBreakPreview" zoomScale="90" zoomScaleNormal="100" zoomScaleSheetLayoutView="90" workbookViewId="0">
      <selection activeCell="A9" sqref="A9"/>
    </sheetView>
  </sheetViews>
  <sheetFormatPr defaultRowHeight="13.2" x14ac:dyDescent="0.25"/>
  <cols>
    <col min="1" max="1" width="10.6640625" customWidth="1"/>
    <col min="2" max="2" width="4.44140625" customWidth="1"/>
    <col min="3" max="3" width="66.109375" customWidth="1"/>
    <col min="4" max="4" width="10" customWidth="1"/>
  </cols>
  <sheetData>
    <row r="1" spans="1:4" ht="34.200000000000003" customHeight="1" x14ac:dyDescent="0.25">
      <c r="A1" s="301"/>
      <c r="B1" s="302" t="s">
        <v>47</v>
      </c>
      <c r="C1" s="303"/>
      <c r="D1" s="304"/>
    </row>
    <row r="2" spans="1:4" ht="27" customHeight="1" x14ac:dyDescent="0.25">
      <c r="A2" s="301"/>
      <c r="B2" s="305" t="s">
        <v>88</v>
      </c>
      <c r="C2" s="306"/>
      <c r="D2" s="304"/>
    </row>
    <row r="3" spans="1:4" x14ac:dyDescent="0.25">
      <c r="A3" s="6"/>
      <c r="B3" s="6"/>
      <c r="C3" s="6"/>
      <c r="D3" s="6"/>
    </row>
    <row r="4" spans="1:4" ht="15.6" x14ac:dyDescent="0.3">
      <c r="A4" s="307" t="s">
        <v>48</v>
      </c>
      <c r="B4" s="307"/>
      <c r="C4" s="307"/>
      <c r="D4" s="307"/>
    </row>
    <row r="5" spans="1:4" x14ac:dyDescent="0.25">
      <c r="A5" s="6"/>
      <c r="B5" s="6"/>
      <c r="C5" s="6"/>
      <c r="D5" s="6"/>
    </row>
    <row r="6" spans="1:4" ht="13.8" x14ac:dyDescent="0.25">
      <c r="A6" s="8" t="s">
        <v>49</v>
      </c>
      <c r="B6" s="8"/>
      <c r="C6" s="35"/>
      <c r="D6" s="6"/>
    </row>
    <row r="7" spans="1:4" ht="13.8" x14ac:dyDescent="0.25">
      <c r="A7" s="8" t="s">
        <v>20</v>
      </c>
      <c r="B7" s="8"/>
      <c r="C7" s="35"/>
      <c r="D7" s="6"/>
    </row>
    <row r="8" spans="1:4" ht="13.8" x14ac:dyDescent="0.25">
      <c r="A8" s="8" t="s">
        <v>78</v>
      </c>
      <c r="B8" s="8"/>
      <c r="C8" s="35"/>
      <c r="D8" s="6"/>
    </row>
    <row r="9" spans="1:4" ht="13.8" x14ac:dyDescent="0.25">
      <c r="A9" s="8"/>
      <c r="B9" s="8"/>
      <c r="C9" s="35"/>
      <c r="D9" s="6"/>
    </row>
    <row r="10" spans="1:4" ht="13.8" x14ac:dyDescent="0.25">
      <c r="A10" s="17" t="s">
        <v>56</v>
      </c>
      <c r="B10" s="8"/>
      <c r="C10" s="35"/>
      <c r="D10" s="6"/>
    </row>
    <row r="11" spans="1:4" ht="13.8" x14ac:dyDescent="0.25">
      <c r="A11" s="308" t="s">
        <v>57</v>
      </c>
      <c r="B11" s="308"/>
      <c r="C11" s="308"/>
      <c r="D11" s="308"/>
    </row>
    <row r="12" spans="1:4" x14ac:dyDescent="0.25">
      <c r="A12" s="5"/>
      <c r="B12" s="5"/>
    </row>
    <row r="13" spans="1:4" ht="47.25" customHeight="1" thickBot="1" x14ac:dyDescent="0.3">
      <c r="A13" s="37" t="s">
        <v>21</v>
      </c>
      <c r="B13" s="312" t="s">
        <v>50</v>
      </c>
      <c r="C13" s="313"/>
      <c r="D13" s="38" t="s">
        <v>22</v>
      </c>
    </row>
    <row r="14" spans="1:4" ht="26.25" customHeight="1" thickTop="1" x14ac:dyDescent="0.25">
      <c r="A14" s="322" t="s">
        <v>36</v>
      </c>
      <c r="B14" s="72"/>
      <c r="C14" s="73"/>
      <c r="D14" s="74"/>
    </row>
    <row r="15" spans="1:4" ht="27" customHeight="1" x14ac:dyDescent="0.25">
      <c r="A15" s="320"/>
      <c r="B15" s="75"/>
      <c r="C15" s="76"/>
      <c r="D15" s="77"/>
    </row>
    <row r="16" spans="1:4" ht="28.5" customHeight="1" x14ac:dyDescent="0.25">
      <c r="A16" s="320"/>
      <c r="B16" s="78"/>
      <c r="C16" s="79"/>
      <c r="D16" s="77"/>
    </row>
    <row r="17" spans="1:4" ht="26.25" customHeight="1" x14ac:dyDescent="0.25">
      <c r="A17" s="320"/>
      <c r="B17" s="75"/>
      <c r="C17" s="76"/>
      <c r="D17" s="77"/>
    </row>
    <row r="18" spans="1:4" ht="27.75" customHeight="1" x14ac:dyDescent="0.25">
      <c r="A18" s="320"/>
      <c r="B18" s="78"/>
      <c r="C18" s="79"/>
      <c r="D18" s="77"/>
    </row>
    <row r="19" spans="1:4" ht="28.5" customHeight="1" x14ac:dyDescent="0.25">
      <c r="A19" s="320"/>
      <c r="B19" s="78"/>
      <c r="C19" s="79"/>
      <c r="D19" s="77"/>
    </row>
    <row r="20" spans="1:4" ht="18" customHeight="1" x14ac:dyDescent="0.25">
      <c r="A20" s="314" t="s">
        <v>23</v>
      </c>
      <c r="B20" s="315"/>
      <c r="C20" s="316"/>
      <c r="D20" s="69">
        <f>SUM(D14:D19)</f>
        <v>0</v>
      </c>
    </row>
    <row r="21" spans="1:4" ht="27" customHeight="1" x14ac:dyDescent="0.25">
      <c r="A21" s="320" t="s">
        <v>34</v>
      </c>
      <c r="B21" s="78"/>
      <c r="C21" s="79"/>
      <c r="D21" s="77"/>
    </row>
    <row r="22" spans="1:4" ht="27.75" customHeight="1" x14ac:dyDescent="0.25">
      <c r="A22" s="320"/>
      <c r="B22" s="75"/>
      <c r="C22" s="76"/>
      <c r="D22" s="77"/>
    </row>
    <row r="23" spans="1:4" ht="28.5" customHeight="1" x14ac:dyDescent="0.25">
      <c r="A23" s="320"/>
      <c r="B23" s="78"/>
      <c r="C23" s="79"/>
      <c r="D23" s="77"/>
    </row>
    <row r="24" spans="1:4" ht="29.25" customHeight="1" x14ac:dyDescent="0.25">
      <c r="A24" s="320"/>
      <c r="B24" s="78"/>
      <c r="C24" s="79"/>
      <c r="D24" s="77"/>
    </row>
    <row r="25" spans="1:4" ht="27.75" customHeight="1" x14ac:dyDescent="0.25">
      <c r="A25" s="320"/>
      <c r="B25" s="75"/>
      <c r="C25" s="76"/>
      <c r="D25" s="77"/>
    </row>
    <row r="26" spans="1:4" ht="27" customHeight="1" x14ac:dyDescent="0.25">
      <c r="A26" s="321"/>
      <c r="B26" s="78"/>
      <c r="C26" s="79"/>
      <c r="D26" s="77"/>
    </row>
    <row r="27" spans="1:4" ht="18" customHeight="1" x14ac:dyDescent="0.25">
      <c r="A27" s="317" t="s">
        <v>24</v>
      </c>
      <c r="B27" s="318"/>
      <c r="C27" s="319"/>
      <c r="D27" s="70">
        <f>SUM(D21:D26)</f>
        <v>0</v>
      </c>
    </row>
    <row r="28" spans="1:4" ht="18" customHeight="1" x14ac:dyDescent="0.25">
      <c r="A28" s="309" t="s">
        <v>25</v>
      </c>
      <c r="B28" s="310"/>
      <c r="C28" s="311"/>
      <c r="D28" s="71">
        <f>D20+D27</f>
        <v>0</v>
      </c>
    </row>
    <row r="29" spans="1:4" ht="18" customHeight="1" x14ac:dyDescent="0.25">
      <c r="A29" s="8"/>
      <c r="B29" s="8"/>
    </row>
    <row r="30" spans="1:4" ht="18" customHeight="1" x14ac:dyDescent="0.25">
      <c r="D30" s="40" t="str">
        <f>'Alokasi Waktu X'!H29</f>
        <v>Jakarta, 10 Juli 2026</v>
      </c>
    </row>
    <row r="31" spans="1:4" ht="18" customHeight="1" x14ac:dyDescent="0.25">
      <c r="B31" s="39" t="s">
        <v>10</v>
      </c>
    </row>
    <row r="32" spans="1:4" ht="18" customHeight="1" x14ac:dyDescent="0.25">
      <c r="B32" s="39" t="s">
        <v>11</v>
      </c>
      <c r="D32" s="40" t="str">
        <f>'Alokasi Waktu X'!H30</f>
        <v>Guru Mata Pelajaran …...,</v>
      </c>
    </row>
    <row r="33" spans="2:4" ht="18" customHeight="1" x14ac:dyDescent="0.25">
      <c r="B33" s="39"/>
      <c r="D33" s="40"/>
    </row>
    <row r="34" spans="2:4" ht="18" customHeight="1" x14ac:dyDescent="0.25">
      <c r="B34" s="39"/>
      <c r="D34" s="40"/>
    </row>
    <row r="35" spans="2:4" ht="18" customHeight="1" x14ac:dyDescent="0.25">
      <c r="B35" s="105" t="str">
        <f>'Alokasi Waktu X'!A33</f>
        <v>H. Marjuki Miad, M.Pd</v>
      </c>
      <c r="D35" s="40" t="str">
        <f>'Alokasi Waktu X'!H33</f>
        <v>…..............</v>
      </c>
    </row>
    <row r="36" spans="2:4" ht="18" customHeight="1" x14ac:dyDescent="0.25">
      <c r="B36" s="39" t="str">
        <f>'Alokasi Waktu X'!A34</f>
        <v>NIP 196705141991011001</v>
      </c>
      <c r="D36" s="40" t="str">
        <f>'Alokasi Waktu X'!H34</f>
        <v>NIP/NIKKI ….......</v>
      </c>
    </row>
  </sheetData>
  <mergeCells count="12">
    <mergeCell ref="A11:D11"/>
    <mergeCell ref="A28:C28"/>
    <mergeCell ref="B13:C13"/>
    <mergeCell ref="A20:C20"/>
    <mergeCell ref="A27:C27"/>
    <mergeCell ref="A21:A26"/>
    <mergeCell ref="A14:A19"/>
    <mergeCell ref="A1:A2"/>
    <mergeCell ref="B1:C1"/>
    <mergeCell ref="D1:D2"/>
    <mergeCell ref="B2:C2"/>
    <mergeCell ref="A4:D4"/>
  </mergeCells>
  <pageMargins left="0.9055118110236221" right="0.51181102362204722" top="0.55118110236220474" bottom="0.55118110236220474" header="0.31496062992125984" footer="0.31496062992125984"/>
  <pageSetup paperSize="9" scale="96" orientation="portrait" r:id="rId1"/>
  <rowBreaks count="1" manualBreakCount="1">
    <brk id="20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4194-3743-4EFA-A0E7-CD1C66AF4264}">
  <dimension ref="A1:Y27"/>
  <sheetViews>
    <sheetView view="pageBreakPreview" zoomScaleNormal="100" zoomScaleSheetLayoutView="100" workbookViewId="0">
      <selection activeCell="J12" sqref="J12"/>
    </sheetView>
  </sheetViews>
  <sheetFormatPr defaultRowHeight="13.2" x14ac:dyDescent="0.25"/>
  <cols>
    <col min="1" max="1" width="5" customWidth="1"/>
    <col min="2" max="2" width="4.33203125" customWidth="1"/>
    <col min="3" max="3" width="44.33203125" customWidth="1"/>
    <col min="4" max="4" width="29" customWidth="1"/>
    <col min="5" max="5" width="70.21875" customWidth="1"/>
    <col min="6" max="6" width="10" customWidth="1"/>
  </cols>
  <sheetData>
    <row r="1" spans="1:25" s="3" customFormat="1" ht="25.5" customHeight="1" x14ac:dyDescent="0.25">
      <c r="A1" s="209"/>
      <c r="B1" s="210"/>
      <c r="C1" s="323" t="s">
        <v>89</v>
      </c>
      <c r="D1" s="324"/>
      <c r="E1" s="325"/>
      <c r="F1" s="3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0</v>
      </c>
    </row>
    <row r="2" spans="1:25" s="3" customFormat="1" ht="28.5" customHeight="1" x14ac:dyDescent="0.25">
      <c r="A2" s="210"/>
      <c r="B2" s="210"/>
      <c r="C2" s="326"/>
      <c r="D2" s="327"/>
      <c r="E2" s="328"/>
      <c r="F2" s="3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</row>
    <row r="3" spans="1:25" x14ac:dyDescent="0.25">
      <c r="A3" s="6"/>
      <c r="B3" s="6"/>
      <c r="C3" s="6"/>
      <c r="D3" s="6"/>
      <c r="E3" s="6"/>
      <c r="F3" s="6"/>
    </row>
    <row r="4" spans="1:25" ht="13.8" x14ac:dyDescent="0.25">
      <c r="A4" s="8" t="s">
        <v>74</v>
      </c>
      <c r="B4" s="8"/>
      <c r="C4" s="35"/>
      <c r="D4" s="35"/>
      <c r="E4" s="35"/>
      <c r="F4" s="6"/>
    </row>
    <row r="5" spans="1:25" ht="13.8" x14ac:dyDescent="0.25">
      <c r="A5" s="8" t="s">
        <v>58</v>
      </c>
      <c r="B5" s="8"/>
      <c r="C5" s="35"/>
      <c r="D5" s="35"/>
      <c r="E5" s="35"/>
      <c r="F5" s="6"/>
    </row>
    <row r="6" spans="1:25" ht="13.8" x14ac:dyDescent="0.25">
      <c r="A6" s="8" t="s">
        <v>75</v>
      </c>
      <c r="B6" s="8"/>
      <c r="C6" s="35"/>
      <c r="D6" s="35"/>
      <c r="E6" s="35"/>
      <c r="F6" s="6"/>
    </row>
    <row r="7" spans="1:25" ht="13.8" x14ac:dyDescent="0.25">
      <c r="A7" s="8" t="s">
        <v>95</v>
      </c>
      <c r="B7" s="8"/>
      <c r="C7" s="35"/>
      <c r="D7" s="35"/>
      <c r="E7" s="35"/>
      <c r="F7" s="6"/>
    </row>
    <row r="8" spans="1:25" ht="13.8" x14ac:dyDescent="0.25">
      <c r="A8" s="8" t="s">
        <v>96</v>
      </c>
      <c r="B8" s="8"/>
      <c r="C8" s="35"/>
      <c r="D8" s="35"/>
      <c r="E8" s="35"/>
      <c r="F8" s="6"/>
    </row>
    <row r="9" spans="1:25" x14ac:dyDescent="0.25">
      <c r="A9" s="5"/>
      <c r="B9" s="5"/>
    </row>
    <row r="10" spans="1:25" x14ac:dyDescent="0.25">
      <c r="A10" s="36" t="s">
        <v>59</v>
      </c>
      <c r="B10" s="36"/>
    </row>
    <row r="11" spans="1:25" ht="15.6" customHeight="1" x14ac:dyDescent="0.25">
      <c r="A11" s="68"/>
      <c r="B11" s="331" t="str">
        <f>ATP!A11</f>
        <v>…................................................................................................................................................</v>
      </c>
      <c r="C11" s="331"/>
      <c r="D11" s="331"/>
      <c r="E11" s="331"/>
      <c r="F11" s="331"/>
    </row>
    <row r="12" spans="1:25" ht="13.8" thickBot="1" x14ac:dyDescent="0.3">
      <c r="A12" s="5"/>
      <c r="B12" s="5"/>
    </row>
    <row r="13" spans="1:25" ht="47.25" customHeight="1" thickBot="1" x14ac:dyDescent="0.3">
      <c r="A13" s="116" t="s">
        <v>1</v>
      </c>
      <c r="B13" s="332" t="s">
        <v>52</v>
      </c>
      <c r="C13" s="333"/>
      <c r="D13" s="117" t="s">
        <v>41</v>
      </c>
      <c r="E13" s="117" t="s">
        <v>42</v>
      </c>
      <c r="F13" s="118" t="s">
        <v>22</v>
      </c>
    </row>
    <row r="14" spans="1:25" ht="49.8" customHeight="1" thickTop="1" x14ac:dyDescent="0.25">
      <c r="A14" s="25">
        <v>1</v>
      </c>
      <c r="B14" s="112"/>
      <c r="C14" s="120"/>
      <c r="D14" s="127"/>
      <c r="E14" s="137"/>
      <c r="F14" s="124"/>
    </row>
    <row r="15" spans="1:25" ht="52.2" customHeight="1" x14ac:dyDescent="0.25">
      <c r="A15" s="29">
        <v>2</v>
      </c>
      <c r="B15" s="113"/>
      <c r="C15" s="121"/>
      <c r="D15" s="136"/>
      <c r="E15" s="138"/>
      <c r="F15" s="125"/>
    </row>
    <row r="16" spans="1:25" ht="52.8" customHeight="1" x14ac:dyDescent="0.25">
      <c r="A16" s="29">
        <v>3</v>
      </c>
      <c r="B16" s="114"/>
      <c r="C16" s="122"/>
      <c r="D16" s="136"/>
      <c r="E16" s="138"/>
      <c r="F16" s="124"/>
    </row>
    <row r="17" spans="1:6" ht="43.8" customHeight="1" x14ac:dyDescent="0.25">
      <c r="A17" s="29">
        <v>4</v>
      </c>
      <c r="B17" s="113"/>
      <c r="C17" s="121"/>
      <c r="D17" s="136"/>
      <c r="E17" s="138"/>
      <c r="F17" s="125"/>
    </row>
    <row r="18" spans="1:6" ht="65.400000000000006" customHeight="1" x14ac:dyDescent="0.25">
      <c r="A18" s="29">
        <v>5</v>
      </c>
      <c r="B18" s="114"/>
      <c r="C18" s="122"/>
      <c r="D18" s="136"/>
      <c r="E18" s="138"/>
      <c r="F18" s="124"/>
    </row>
    <row r="19" spans="1:6" ht="66" customHeight="1" thickBot="1" x14ac:dyDescent="0.3">
      <c r="A19" s="33">
        <v>6</v>
      </c>
      <c r="B19" s="119"/>
      <c r="C19" s="123"/>
      <c r="D19" s="140"/>
      <c r="E19" s="139"/>
      <c r="F19" s="126"/>
    </row>
    <row r="20" spans="1:6" ht="18" customHeight="1" x14ac:dyDescent="0.25">
      <c r="A20" s="8"/>
      <c r="B20" s="8"/>
    </row>
    <row r="21" spans="1:6" ht="18" customHeight="1" x14ac:dyDescent="0.25">
      <c r="F21" s="40" t="str">
        <f>'Alokasi Waktu X'!H29</f>
        <v>Jakarta, 10 Juli 2026</v>
      </c>
    </row>
    <row r="22" spans="1:6" ht="18" customHeight="1" x14ac:dyDescent="0.25">
      <c r="B22" s="39" t="s">
        <v>10</v>
      </c>
    </row>
    <row r="23" spans="1:6" ht="18" customHeight="1" x14ac:dyDescent="0.25">
      <c r="B23" s="39" t="s">
        <v>11</v>
      </c>
      <c r="F23" s="40" t="str">
        <f>'Alokasi Waktu X'!H30</f>
        <v>Guru Mata Pelajaran …...,</v>
      </c>
    </row>
    <row r="24" spans="1:6" ht="18" customHeight="1" x14ac:dyDescent="0.25">
      <c r="B24" s="39"/>
      <c r="F24" s="40"/>
    </row>
    <row r="25" spans="1:6" ht="18" customHeight="1" x14ac:dyDescent="0.25">
      <c r="B25" s="39"/>
      <c r="F25" s="40"/>
    </row>
    <row r="26" spans="1:6" ht="18" customHeight="1" x14ac:dyDescent="0.25">
      <c r="B26" s="105" t="str">
        <f>'Alokasi Waktu X'!A33</f>
        <v>H. Marjuki Miad, M.Pd</v>
      </c>
      <c r="F26" s="115" t="str">
        <f>'Alokasi Waktu X'!H33</f>
        <v>…..............</v>
      </c>
    </row>
    <row r="27" spans="1:6" ht="18" customHeight="1" x14ac:dyDescent="0.25">
      <c r="B27" s="39" t="str">
        <f>'Alokasi Waktu X'!A34</f>
        <v>NIP 196705141991011001</v>
      </c>
      <c r="F27" s="40" t="str">
        <f>'Alokasi Waktu X'!H34</f>
        <v>NIP/NIKKI ….......</v>
      </c>
    </row>
  </sheetData>
  <mergeCells count="5">
    <mergeCell ref="C1:E2"/>
    <mergeCell ref="F1:F2"/>
    <mergeCell ref="B11:F11"/>
    <mergeCell ref="B13:C13"/>
    <mergeCell ref="A1:B2"/>
  </mergeCells>
  <pageMargins left="0.51181102362204722" right="0.51181102362204722" top="0.94488188976377963" bottom="0.55118110236220474" header="0.31496062992125984" footer="0.31496062992125984"/>
  <pageSetup paperSize="9" scale="84" orientation="landscape" r:id="rId1"/>
  <rowBreaks count="1" manualBreakCount="1">
    <brk id="15" max="24" man="1"/>
  </rowBreaks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view="pageBreakPreview" zoomScaleNormal="100" zoomScaleSheetLayoutView="100" workbookViewId="0">
      <selection activeCell="H2" sqref="H2"/>
    </sheetView>
  </sheetViews>
  <sheetFormatPr defaultRowHeight="13.2" x14ac:dyDescent="0.25"/>
  <cols>
    <col min="1" max="1" width="4.44140625" customWidth="1"/>
    <col min="2" max="2" width="52.44140625" customWidth="1"/>
    <col min="3" max="3" width="10.109375" customWidth="1"/>
    <col min="4" max="4" width="10.6640625" customWidth="1"/>
    <col min="5" max="5" width="10.109375" customWidth="1"/>
    <col min="6" max="6" width="12.44140625" customWidth="1"/>
  </cols>
  <sheetData>
    <row r="1" spans="1:6" ht="102.6" customHeight="1" thickBot="1" x14ac:dyDescent="0.3"/>
    <row r="2" spans="1:6" ht="18" customHeight="1" thickBot="1" x14ac:dyDescent="0.35">
      <c r="A2" s="141"/>
      <c r="B2" s="142"/>
      <c r="C2" s="142"/>
      <c r="D2" s="142"/>
      <c r="E2" s="142"/>
      <c r="F2" s="143"/>
    </row>
    <row r="3" spans="1:6" ht="18" customHeight="1" thickBot="1" x14ac:dyDescent="0.35">
      <c r="A3" s="334" t="s">
        <v>60</v>
      </c>
      <c r="B3" s="335"/>
      <c r="C3" s="335"/>
      <c r="D3" s="335"/>
      <c r="E3" s="335"/>
      <c r="F3" s="336"/>
    </row>
    <row r="4" spans="1:6" ht="18" customHeight="1" x14ac:dyDescent="0.25">
      <c r="A4" s="144"/>
      <c r="B4" s="6"/>
      <c r="F4" s="145"/>
    </row>
    <row r="5" spans="1:6" ht="18" customHeight="1" x14ac:dyDescent="0.25">
      <c r="A5" s="146" t="s">
        <v>71</v>
      </c>
      <c r="B5" s="35"/>
      <c r="F5" s="145"/>
    </row>
    <row r="6" spans="1:6" ht="18" customHeight="1" x14ac:dyDescent="0.25">
      <c r="A6" s="146" t="s">
        <v>20</v>
      </c>
      <c r="B6" s="35"/>
      <c r="F6" s="145"/>
    </row>
    <row r="7" spans="1:6" ht="18" customHeight="1" x14ac:dyDescent="0.25">
      <c r="A7" s="146" t="s">
        <v>78</v>
      </c>
      <c r="B7" s="35"/>
      <c r="F7" s="145"/>
    </row>
    <row r="8" spans="1:6" ht="18" customHeight="1" x14ac:dyDescent="0.25">
      <c r="A8" s="146" t="s">
        <v>90</v>
      </c>
      <c r="B8" s="35"/>
      <c r="F8" s="145"/>
    </row>
    <row r="9" spans="1:6" ht="18" customHeight="1" x14ac:dyDescent="0.25">
      <c r="A9" s="147"/>
      <c r="F9" s="145"/>
    </row>
    <row r="10" spans="1:6" ht="18" customHeight="1" x14ac:dyDescent="0.25">
      <c r="A10" s="148" t="s">
        <v>61</v>
      </c>
      <c r="F10" s="145"/>
    </row>
    <row r="11" spans="1:6" ht="18" customHeight="1" x14ac:dyDescent="0.3">
      <c r="A11" s="149" t="s">
        <v>62</v>
      </c>
      <c r="B11" s="150"/>
      <c r="C11" s="150"/>
      <c r="D11" s="150"/>
      <c r="E11" s="150"/>
      <c r="F11" s="151"/>
    </row>
    <row r="12" spans="1:6" ht="18" customHeight="1" thickBot="1" x14ac:dyDescent="0.3">
      <c r="A12" s="152"/>
      <c r="B12" s="153"/>
      <c r="C12" s="153"/>
      <c r="D12" s="153"/>
      <c r="E12" s="153"/>
      <c r="F12" s="154"/>
    </row>
    <row r="13" spans="1:6" ht="18" customHeight="1" x14ac:dyDescent="0.25">
      <c r="A13" s="337" t="s">
        <v>1</v>
      </c>
      <c r="B13" s="339" t="s">
        <v>52</v>
      </c>
      <c r="C13" s="341" t="s">
        <v>63</v>
      </c>
      <c r="D13" s="342"/>
      <c r="E13" s="342"/>
      <c r="F13" s="343"/>
    </row>
    <row r="14" spans="1:6" ht="46.2" customHeight="1" thickBot="1" x14ac:dyDescent="0.3">
      <c r="A14" s="338"/>
      <c r="B14" s="340"/>
      <c r="C14" s="155" t="s">
        <v>64</v>
      </c>
      <c r="D14" s="156" t="s">
        <v>65</v>
      </c>
      <c r="E14" s="156" t="s">
        <v>66</v>
      </c>
      <c r="F14" s="157" t="s">
        <v>67</v>
      </c>
    </row>
    <row r="15" spans="1:6" ht="18" customHeight="1" thickTop="1" x14ac:dyDescent="0.25">
      <c r="A15" s="158"/>
      <c r="B15" s="159"/>
      <c r="C15" s="160"/>
      <c r="D15" s="98"/>
      <c r="E15" s="161"/>
      <c r="F15" s="162"/>
    </row>
    <row r="16" spans="1:6" ht="18" customHeight="1" x14ac:dyDescent="0.25">
      <c r="A16" s="163"/>
      <c r="B16" s="164"/>
      <c r="C16" s="160"/>
      <c r="D16" s="98"/>
      <c r="E16" s="98"/>
      <c r="F16" s="162"/>
    </row>
    <row r="17" spans="1:6" ht="18" customHeight="1" x14ac:dyDescent="0.25">
      <c r="A17" s="163"/>
      <c r="B17" s="164"/>
      <c r="C17" s="160"/>
      <c r="D17" s="98"/>
      <c r="E17" s="98"/>
      <c r="F17" s="162"/>
    </row>
    <row r="18" spans="1:6" ht="18" customHeight="1" x14ac:dyDescent="0.25">
      <c r="A18" s="163"/>
      <c r="B18" s="165"/>
      <c r="C18" s="166"/>
      <c r="D18" s="99"/>
      <c r="E18" s="99"/>
      <c r="F18" s="162"/>
    </row>
    <row r="19" spans="1:6" ht="18" customHeight="1" x14ac:dyDescent="0.25">
      <c r="A19" s="167"/>
      <c r="B19" s="171"/>
      <c r="C19" s="166"/>
      <c r="D19" s="99"/>
      <c r="E19" s="99"/>
      <c r="F19" s="162"/>
    </row>
    <row r="20" spans="1:6" ht="18" customHeight="1" x14ac:dyDescent="0.25">
      <c r="A20" s="163"/>
      <c r="B20" s="165"/>
      <c r="C20" s="166"/>
      <c r="D20" s="99"/>
      <c r="E20" s="99"/>
      <c r="F20" s="162"/>
    </row>
    <row r="21" spans="1:6" ht="18" customHeight="1" x14ac:dyDescent="0.25">
      <c r="A21" s="163"/>
      <c r="B21" s="165"/>
      <c r="C21" s="166"/>
      <c r="D21" s="99"/>
      <c r="E21" s="99"/>
      <c r="F21" s="162"/>
    </row>
    <row r="22" spans="1:6" ht="18" customHeight="1" thickBot="1" x14ac:dyDescent="0.3">
      <c r="A22" s="172"/>
      <c r="B22" s="173"/>
      <c r="C22" s="174"/>
      <c r="D22" s="175"/>
      <c r="E22" s="175"/>
      <c r="F22" s="176"/>
    </row>
    <row r="23" spans="1:6" ht="18" customHeight="1" x14ac:dyDescent="0.25">
      <c r="A23" s="8"/>
    </row>
    <row r="24" spans="1:6" ht="18" customHeight="1" x14ac:dyDescent="0.25">
      <c r="D24" s="168" t="str">
        <f>ATP!D30</f>
        <v>Jakarta, 10 Juli 2026</v>
      </c>
    </row>
    <row r="25" spans="1:6" ht="18" customHeight="1" x14ac:dyDescent="0.25">
      <c r="A25" s="39" t="s">
        <v>10</v>
      </c>
      <c r="D25" s="169"/>
    </row>
    <row r="26" spans="1:6" ht="18" customHeight="1" x14ac:dyDescent="0.25">
      <c r="A26" s="39" t="s">
        <v>11</v>
      </c>
      <c r="D26" s="168" t="s">
        <v>68</v>
      </c>
    </row>
    <row r="27" spans="1:6" ht="18" customHeight="1" x14ac:dyDescent="0.25">
      <c r="A27" s="39"/>
      <c r="D27" s="168"/>
    </row>
    <row r="28" spans="1:6" ht="18" customHeight="1" x14ac:dyDescent="0.25">
      <c r="A28" s="39"/>
      <c r="D28" s="168"/>
    </row>
    <row r="29" spans="1:6" ht="18" customHeight="1" x14ac:dyDescent="0.25">
      <c r="A29" s="105" t="s">
        <v>37</v>
      </c>
      <c r="D29" s="170" t="s">
        <v>69</v>
      </c>
    </row>
    <row r="30" spans="1:6" ht="18" customHeight="1" x14ac:dyDescent="0.25">
      <c r="A30" s="39" t="s">
        <v>38</v>
      </c>
      <c r="D30" s="168" t="s">
        <v>70</v>
      </c>
    </row>
    <row r="31" spans="1:6" ht="18" customHeight="1" x14ac:dyDescent="0.25"/>
  </sheetData>
  <mergeCells count="4">
    <mergeCell ref="A3:F3"/>
    <mergeCell ref="A13:A14"/>
    <mergeCell ref="B13:B14"/>
    <mergeCell ref="C13:F13"/>
  </mergeCells>
  <pageMargins left="0.9055118110236221" right="0.51181102362204722" top="0.55118110236220474" bottom="0.55118110236220474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Alokasi Waktu X</vt:lpstr>
      <vt:lpstr>Prosem Ganjil  X</vt:lpstr>
      <vt:lpstr>Prosem Genap X</vt:lpstr>
      <vt:lpstr>ATP</vt:lpstr>
      <vt:lpstr>Prota</vt:lpstr>
      <vt:lpstr>KKTP</vt:lpstr>
      <vt:lpstr>'Alokasi Waktu X'!Print_Area</vt:lpstr>
      <vt:lpstr>KKTP!Print_Area</vt:lpstr>
      <vt:lpstr>'Prosem Genap X'!Print_Area</vt:lpstr>
      <vt:lpstr>ATP!Print_Titles</vt:lpstr>
      <vt:lpstr>KKTP!Print_Titles</vt:lpstr>
      <vt:lpstr>'Prosem Ganjil  X'!Print_Titles</vt:lpstr>
      <vt:lpstr>'Prosem Genap X'!Print_Titles</vt:lpstr>
      <vt:lpstr>Prota!Print_Titles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Harry Cahyadi</cp:lastModifiedBy>
  <cp:lastPrinted>2023-10-17T03:15:56Z</cp:lastPrinted>
  <dcterms:created xsi:type="dcterms:W3CDTF">2015-08-10T05:28:16Z</dcterms:created>
  <dcterms:modified xsi:type="dcterms:W3CDTF">2026-07-02T06:59:06Z</dcterms:modified>
</cp:coreProperties>
</file>